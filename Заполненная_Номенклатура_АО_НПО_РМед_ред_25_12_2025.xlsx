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РМед\Артикулы веб версия\"/>
    </mc:Choice>
  </mc:AlternateContent>
  <bookViews>
    <workbookView xWindow="0" yWindow="0" windowWidth="17490" windowHeight="11100" firstSheet="3" activeTab="3"/>
  </bookViews>
  <sheets>
    <sheet name="Общий список с инв. №" sheetId="2" r:id="rId1"/>
    <sheet name="Амортизируемое исущество" sheetId="1" r:id="rId2"/>
    <sheet name="Оборудование НИОКР" sheetId="3" r:id="rId3"/>
    <sheet name="Только НДА, ИВЛ, МП" sheetId="5" r:id="rId4"/>
    <sheet name="Склад (в работе)" sheetId="7" r:id="rId5"/>
  </sheets>
  <definedNames>
    <definedName name="_xlnm._FilterDatabase" localSheetId="1" hidden="1">'Амортизируемое исущество'!$A$3:$J$194</definedName>
    <definedName name="_xlnm._FilterDatabase" localSheetId="2" hidden="1">'Оборудование НИОКР'!$A$3:$J$398</definedName>
    <definedName name="_xlnm._FilterDatabase" localSheetId="0" hidden="1">'Общий список с инв. №'!$A$3:$J$489</definedName>
    <definedName name="_xlnm._FilterDatabase" localSheetId="4" hidden="1">'Склад (в работе)'!$B$2:$F$2</definedName>
    <definedName name="_xlnm._FilterDatabase" localSheetId="3" hidden="1">'Только НДА, ИВЛ, МП'!$C$3:$L$667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5" l="1"/>
  <c r="J50" i="5"/>
  <c r="J51" i="5"/>
  <c r="J53" i="5"/>
  <c r="J54" i="5"/>
  <c r="J55" i="5"/>
  <c r="J49" i="5"/>
  <c r="J48" i="5"/>
  <c r="L45" i="5"/>
  <c r="L46" i="5"/>
  <c r="L40" i="5"/>
  <c r="L41" i="5"/>
  <c r="L42" i="5"/>
  <c r="L43" i="5"/>
  <c r="L44" i="5"/>
  <c r="K7" i="5"/>
  <c r="J43" i="5"/>
  <c r="J42" i="5"/>
  <c r="J41" i="5"/>
  <c r="J40" i="5"/>
  <c r="J44" i="5"/>
  <c r="J45" i="5"/>
  <c r="J46" i="5"/>
  <c r="J47" i="5"/>
  <c r="J58" i="5"/>
  <c r="L654" i="5"/>
  <c r="J654" i="5"/>
  <c r="L653" i="5"/>
  <c r="J653" i="5"/>
  <c r="L652" i="5"/>
  <c r="J652" i="5"/>
  <c r="L651" i="5"/>
  <c r="J651" i="5"/>
  <c r="L666" i="5"/>
  <c r="K666" i="5"/>
  <c r="J666" i="5"/>
  <c r="L665" i="5"/>
  <c r="K665" i="5"/>
  <c r="J665" i="5"/>
  <c r="L664" i="5"/>
  <c r="J664" i="5"/>
  <c r="L661" i="5"/>
  <c r="J661" i="5"/>
  <c r="L660" i="5"/>
  <c r="J660" i="5"/>
  <c r="L659" i="5"/>
  <c r="J659" i="5"/>
  <c r="L632" i="5"/>
  <c r="J632" i="5"/>
  <c r="L631" i="5"/>
  <c r="J631" i="5"/>
  <c r="L630" i="5"/>
  <c r="J630" i="5"/>
  <c r="J609" i="5"/>
  <c r="L608" i="5"/>
  <c r="J608" i="5"/>
  <c r="L607" i="5"/>
  <c r="J607" i="5"/>
  <c r="L606" i="5"/>
  <c r="J606" i="5"/>
  <c r="L605" i="5"/>
  <c r="J605" i="5"/>
  <c r="L604" i="5"/>
  <c r="J604" i="5"/>
  <c r="L603" i="5"/>
  <c r="J603" i="5"/>
  <c r="L602" i="5"/>
  <c r="J602" i="5"/>
  <c r="J601" i="5"/>
  <c r="J600" i="5"/>
  <c r="J599" i="5"/>
  <c r="L598" i="5"/>
  <c r="J598" i="5"/>
  <c r="J597" i="5"/>
  <c r="L590" i="5"/>
  <c r="J590" i="5"/>
  <c r="L588" i="5"/>
  <c r="J588" i="5"/>
  <c r="L586" i="5"/>
  <c r="J586" i="5"/>
  <c r="J583" i="5"/>
  <c r="J582" i="5"/>
  <c r="J581" i="5"/>
  <c r="L579" i="5"/>
  <c r="J579" i="5"/>
  <c r="L578" i="5"/>
  <c r="J578" i="5"/>
  <c r="L577" i="5"/>
  <c r="J577" i="5"/>
  <c r="L576" i="5"/>
  <c r="J576" i="5"/>
  <c r="L575" i="5"/>
  <c r="J575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L554" i="5"/>
  <c r="J555" i="5"/>
  <c r="J556" i="5"/>
  <c r="J573" i="5"/>
  <c r="J574" i="5"/>
  <c r="J580" i="5"/>
  <c r="J584" i="5"/>
  <c r="J585" i="5"/>
  <c r="J587" i="5"/>
  <c r="J589" i="5"/>
  <c r="J591" i="5"/>
  <c r="J592" i="5"/>
  <c r="J593" i="5"/>
  <c r="J594" i="5"/>
  <c r="J595" i="5"/>
  <c r="J596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80" i="5"/>
  <c r="L581" i="5"/>
  <c r="L582" i="5"/>
  <c r="L583" i="5"/>
  <c r="L584" i="5"/>
  <c r="L585" i="5"/>
  <c r="L587" i="5"/>
  <c r="L589" i="5"/>
  <c r="L591" i="5"/>
  <c r="L592" i="5"/>
  <c r="L593" i="5"/>
  <c r="L594" i="5"/>
  <c r="L595" i="5"/>
  <c r="L596" i="5"/>
  <c r="L597" i="5"/>
  <c r="L599" i="5"/>
  <c r="L600" i="5"/>
  <c r="L601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555" i="5"/>
  <c r="J554" i="5"/>
  <c r="L509" i="5"/>
  <c r="J509" i="5"/>
  <c r="L508" i="5"/>
  <c r="J508" i="5"/>
  <c r="L507" i="5"/>
  <c r="J507" i="5"/>
  <c r="L506" i="5"/>
  <c r="J506" i="5"/>
  <c r="L505" i="5"/>
  <c r="J505" i="5"/>
  <c r="L504" i="5"/>
  <c r="J504" i="5"/>
  <c r="L503" i="5"/>
  <c r="J503" i="5"/>
  <c r="L502" i="5"/>
  <c r="J502" i="5"/>
  <c r="L501" i="5"/>
  <c r="J501" i="5"/>
  <c r="L500" i="5"/>
  <c r="J500" i="5"/>
  <c r="L499" i="5"/>
  <c r="J499" i="5"/>
  <c r="L498" i="5"/>
  <c r="J498" i="5"/>
  <c r="L497" i="5"/>
  <c r="J497" i="5"/>
  <c r="L496" i="5"/>
  <c r="J496" i="5"/>
  <c r="L495" i="5"/>
  <c r="J495" i="5"/>
  <c r="L494" i="5"/>
  <c r="J494" i="5"/>
  <c r="L493" i="5"/>
  <c r="J493" i="5"/>
  <c r="L492" i="5"/>
  <c r="J492" i="5"/>
  <c r="L491" i="5"/>
  <c r="J491" i="5"/>
  <c r="L490" i="5"/>
  <c r="J490" i="5"/>
  <c r="L489" i="5"/>
  <c r="J489" i="5"/>
  <c r="L488" i="5"/>
  <c r="J488" i="5"/>
  <c r="L487" i="5"/>
  <c r="J487" i="5"/>
  <c r="L486" i="5"/>
  <c r="J486" i="5"/>
  <c r="L485" i="5"/>
  <c r="J485" i="5"/>
  <c r="L484" i="5"/>
  <c r="J484" i="5"/>
  <c r="L483" i="5"/>
  <c r="J483" i="5"/>
  <c r="L527" i="5"/>
  <c r="J527" i="5"/>
  <c r="L526" i="5"/>
  <c r="J526" i="5"/>
  <c r="L525" i="5"/>
  <c r="J525" i="5"/>
  <c r="L524" i="5"/>
  <c r="J524" i="5"/>
  <c r="L523" i="5"/>
  <c r="J523" i="5"/>
  <c r="L522" i="5"/>
  <c r="J522" i="5"/>
  <c r="L521" i="5"/>
  <c r="J521" i="5"/>
  <c r="L520" i="5"/>
  <c r="J520" i="5"/>
  <c r="L519" i="5"/>
  <c r="J519" i="5"/>
  <c r="L518" i="5"/>
  <c r="J518" i="5"/>
  <c r="L517" i="5"/>
  <c r="J517" i="5"/>
  <c r="L516" i="5"/>
  <c r="J516" i="5"/>
  <c r="L515" i="5"/>
  <c r="J515" i="5"/>
  <c r="L514" i="5"/>
  <c r="J514" i="5"/>
  <c r="L513" i="5"/>
  <c r="J513" i="5"/>
  <c r="L510" i="5"/>
  <c r="L511" i="5"/>
  <c r="L512" i="5"/>
  <c r="J510" i="5"/>
  <c r="J511" i="5"/>
  <c r="J512" i="5"/>
  <c r="L480" i="5"/>
  <c r="J480" i="5"/>
  <c r="L479" i="5"/>
  <c r="J479" i="5"/>
  <c r="L478" i="5"/>
  <c r="J478" i="5"/>
  <c r="L477" i="5"/>
  <c r="J477" i="5"/>
  <c r="L390" i="5"/>
  <c r="J390" i="5"/>
  <c r="L389" i="5"/>
  <c r="J389" i="5"/>
  <c r="L388" i="5"/>
  <c r="J388" i="5"/>
  <c r="L387" i="5"/>
  <c r="J387" i="5"/>
  <c r="L398" i="5"/>
  <c r="J398" i="5"/>
  <c r="L397" i="5"/>
  <c r="J397" i="5"/>
  <c r="L396" i="5"/>
  <c r="J396" i="5"/>
  <c r="L395" i="5"/>
  <c r="J395" i="5"/>
  <c r="L405" i="5"/>
  <c r="J405" i="5"/>
  <c r="L404" i="5"/>
  <c r="J404" i="5"/>
  <c r="L403" i="5"/>
  <c r="J403" i="5"/>
  <c r="L402" i="5"/>
  <c r="J402" i="5"/>
  <c r="L306" i="5"/>
  <c r="J306" i="5"/>
  <c r="L305" i="5"/>
  <c r="J305" i="5"/>
  <c r="L304" i="5"/>
  <c r="J304" i="5"/>
  <c r="L303" i="5"/>
  <c r="J303" i="5"/>
  <c r="L302" i="5"/>
  <c r="J302" i="5"/>
  <c r="L301" i="5"/>
  <c r="J301" i="5"/>
  <c r="L300" i="5"/>
  <c r="J300" i="5"/>
  <c r="L299" i="5"/>
  <c r="J299" i="5"/>
  <c r="L298" i="5"/>
  <c r="J298" i="5"/>
  <c r="L297" i="5"/>
  <c r="J297" i="5"/>
  <c r="L296" i="5"/>
  <c r="J296" i="5"/>
  <c r="L295" i="5"/>
  <c r="J295" i="5"/>
  <c r="L294" i="5"/>
  <c r="J294" i="5"/>
  <c r="L286" i="5"/>
  <c r="J286" i="5"/>
  <c r="L285" i="5"/>
  <c r="J285" i="5"/>
  <c r="L284" i="5"/>
  <c r="J284" i="5"/>
  <c r="L283" i="5"/>
  <c r="J283" i="5"/>
  <c r="L282" i="5"/>
  <c r="J282" i="5"/>
  <c r="L281" i="5"/>
  <c r="J281" i="5"/>
  <c r="L280" i="5"/>
  <c r="J280" i="5"/>
  <c r="L279" i="5"/>
  <c r="J279" i="5"/>
  <c r="L278" i="5"/>
  <c r="J278" i="5"/>
  <c r="L277" i="5"/>
  <c r="J277" i="5"/>
  <c r="L276" i="5"/>
  <c r="J276" i="5"/>
  <c r="L275" i="5"/>
  <c r="J275" i="5"/>
  <c r="L274" i="5"/>
  <c r="J274" i="5"/>
  <c r="L290" i="5"/>
  <c r="J290" i="5"/>
  <c r="L289" i="5"/>
  <c r="J289" i="5"/>
  <c r="L288" i="5"/>
  <c r="J288" i="5"/>
  <c r="L270" i="5"/>
  <c r="J270" i="5"/>
  <c r="L269" i="5"/>
  <c r="J269" i="5"/>
  <c r="L268" i="5"/>
  <c r="J268" i="5"/>
  <c r="L259" i="5"/>
  <c r="J259" i="5"/>
  <c r="L258" i="5"/>
  <c r="J258" i="5"/>
  <c r="L257" i="5"/>
  <c r="J257" i="5"/>
  <c r="L256" i="5"/>
  <c r="J256" i="5"/>
  <c r="L255" i="5"/>
  <c r="J255" i="5"/>
  <c r="L254" i="5"/>
  <c r="J254" i="5"/>
  <c r="L253" i="5"/>
  <c r="J253" i="5"/>
  <c r="L252" i="5"/>
  <c r="J252" i="5"/>
  <c r="L251" i="5"/>
  <c r="J251" i="5"/>
  <c r="L250" i="5"/>
  <c r="J250" i="5"/>
  <c r="L249" i="5"/>
  <c r="J249" i="5"/>
  <c r="L248" i="5"/>
  <c r="J248" i="5"/>
  <c r="L247" i="5"/>
  <c r="J247" i="5"/>
  <c r="L192" i="5"/>
  <c r="J192" i="5"/>
  <c r="L191" i="5"/>
  <c r="J191" i="5"/>
  <c r="L190" i="5"/>
  <c r="J190" i="5"/>
  <c r="L189" i="5"/>
  <c r="J189" i="5"/>
  <c r="J195" i="5"/>
  <c r="L195" i="5"/>
  <c r="J196" i="5"/>
  <c r="L196" i="5"/>
  <c r="J197" i="5"/>
  <c r="L197" i="5"/>
  <c r="J198" i="5"/>
  <c r="L198" i="5"/>
  <c r="J199" i="5"/>
  <c r="L199" i="5"/>
  <c r="J200" i="5"/>
  <c r="L200" i="5"/>
  <c r="J201" i="5"/>
  <c r="L201" i="5"/>
  <c r="J202" i="5"/>
  <c r="L202" i="5"/>
  <c r="J203" i="5"/>
  <c r="L203" i="5"/>
  <c r="J204" i="5"/>
  <c r="L204" i="5"/>
  <c r="J205" i="5"/>
  <c r="L205" i="5"/>
  <c r="J206" i="5"/>
  <c r="L206" i="5"/>
  <c r="J207" i="5"/>
  <c r="L207" i="5"/>
  <c r="J208" i="5"/>
  <c r="L208" i="5"/>
  <c r="L187" i="5"/>
  <c r="J187" i="5"/>
  <c r="L186" i="5"/>
  <c r="J186" i="5"/>
  <c r="L185" i="5"/>
  <c r="J185" i="5"/>
  <c r="L184" i="5"/>
  <c r="J184" i="5"/>
  <c r="L183" i="5"/>
  <c r="J183" i="5"/>
  <c r="L182" i="5"/>
  <c r="J182" i="5"/>
  <c r="L181" i="5"/>
  <c r="J181" i="5"/>
  <c r="L180" i="5"/>
  <c r="J180" i="5"/>
  <c r="L179" i="5"/>
  <c r="J179" i="5"/>
  <c r="L178" i="5"/>
  <c r="J178" i="5"/>
  <c r="L177" i="5"/>
  <c r="J177" i="5"/>
  <c r="L176" i="5"/>
  <c r="J176" i="5"/>
  <c r="L175" i="5"/>
  <c r="J175" i="5"/>
  <c r="L174" i="5"/>
  <c r="J174" i="5"/>
  <c r="L170" i="5"/>
  <c r="J170" i="5"/>
  <c r="L169" i="5"/>
  <c r="J169" i="5"/>
  <c r="L163" i="5"/>
  <c r="J163" i="5"/>
  <c r="L162" i="5"/>
  <c r="J162" i="5"/>
  <c r="L161" i="5"/>
  <c r="J161" i="5"/>
  <c r="L160" i="5"/>
  <c r="J160" i="5"/>
  <c r="L159" i="5"/>
  <c r="J159" i="5"/>
  <c r="L158" i="5"/>
  <c r="J158" i="5"/>
  <c r="L157" i="5"/>
  <c r="J157" i="5"/>
  <c r="L156" i="5"/>
  <c r="J156" i="5"/>
  <c r="L155" i="5"/>
  <c r="J155" i="5"/>
  <c r="L154" i="5"/>
  <c r="J154" i="5"/>
  <c r="L153" i="5"/>
  <c r="J153" i="5"/>
  <c r="L152" i="5"/>
  <c r="J152" i="5"/>
  <c r="L151" i="5"/>
  <c r="J151" i="5"/>
  <c r="L150" i="5"/>
  <c r="J150" i="5"/>
  <c r="L116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L103" i="5"/>
  <c r="J103" i="5"/>
  <c r="D85" i="5"/>
  <c r="J7" i="5"/>
  <c r="L9" i="5"/>
  <c r="L10" i="5"/>
  <c r="L11" i="5"/>
  <c r="L12" i="5"/>
  <c r="L13" i="5"/>
  <c r="L14" i="5"/>
  <c r="L15" i="5"/>
  <c r="L16" i="5"/>
  <c r="J9" i="5"/>
  <c r="J10" i="5"/>
  <c r="J11" i="5"/>
  <c r="J12" i="5"/>
  <c r="J13" i="5"/>
  <c r="J14" i="5"/>
  <c r="J15" i="5"/>
  <c r="J16" i="5"/>
  <c r="J8" i="5" l="1"/>
  <c r="L188" i="5"/>
  <c r="L193" i="5"/>
  <c r="L194" i="5"/>
  <c r="J188" i="5"/>
  <c r="J193" i="5"/>
  <c r="J194" i="5"/>
  <c r="L663" i="5" l="1"/>
  <c r="J663" i="5"/>
  <c r="L662" i="5"/>
  <c r="J662" i="5"/>
  <c r="D661" i="5"/>
  <c r="L658" i="5"/>
  <c r="J658" i="5"/>
  <c r="L657" i="5"/>
  <c r="J657" i="5"/>
  <c r="L656" i="5"/>
  <c r="J656" i="5"/>
  <c r="L655" i="5"/>
  <c r="J655" i="5"/>
  <c r="D654" i="5"/>
  <c r="L650" i="5"/>
  <c r="J650" i="5"/>
  <c r="L649" i="5"/>
  <c r="J649" i="5"/>
  <c r="L648" i="5"/>
  <c r="J648" i="5"/>
  <c r="L647" i="5"/>
  <c r="J647" i="5"/>
  <c r="L646" i="5"/>
  <c r="J646" i="5"/>
  <c r="L645" i="5"/>
  <c r="J645" i="5"/>
  <c r="L644" i="5"/>
  <c r="J644" i="5"/>
  <c r="L643" i="5"/>
  <c r="J643" i="5"/>
  <c r="L642" i="5"/>
  <c r="J642" i="5"/>
  <c r="L641" i="5"/>
  <c r="J641" i="5"/>
  <c r="L640" i="5"/>
  <c r="J640" i="5"/>
  <c r="L639" i="5"/>
  <c r="J639" i="5"/>
  <c r="L638" i="5"/>
  <c r="J638" i="5"/>
  <c r="L637" i="5"/>
  <c r="J637" i="5"/>
  <c r="L636" i="5"/>
  <c r="J636" i="5"/>
  <c r="L635" i="5"/>
  <c r="J635" i="5"/>
  <c r="L634" i="5"/>
  <c r="J634" i="5"/>
  <c r="L633" i="5"/>
  <c r="J633" i="5"/>
  <c r="D632" i="5"/>
  <c r="L629" i="5"/>
  <c r="J629" i="5"/>
  <c r="L553" i="5"/>
  <c r="J553" i="5"/>
  <c r="L552" i="5"/>
  <c r="J552" i="5"/>
  <c r="L551" i="5"/>
  <c r="J551" i="5"/>
  <c r="D551" i="5"/>
  <c r="L550" i="5"/>
  <c r="J550" i="5"/>
  <c r="L549" i="5"/>
  <c r="J549" i="5"/>
  <c r="L548" i="5"/>
  <c r="J548" i="5"/>
  <c r="L547" i="5"/>
  <c r="J547" i="5"/>
  <c r="L546" i="5"/>
  <c r="J546" i="5"/>
  <c r="L545" i="5"/>
  <c r="J545" i="5"/>
  <c r="L544" i="5"/>
  <c r="J544" i="5"/>
  <c r="L543" i="5"/>
  <c r="J543" i="5"/>
  <c r="L542" i="5"/>
  <c r="J542" i="5"/>
  <c r="L541" i="5"/>
  <c r="J541" i="5"/>
  <c r="L540" i="5"/>
  <c r="J540" i="5"/>
  <c r="L539" i="5"/>
  <c r="J539" i="5"/>
  <c r="L538" i="5"/>
  <c r="J538" i="5"/>
  <c r="L537" i="5"/>
  <c r="J537" i="5"/>
  <c r="L536" i="5"/>
  <c r="J536" i="5"/>
  <c r="L535" i="5"/>
  <c r="J535" i="5"/>
  <c r="L534" i="5"/>
  <c r="J534" i="5"/>
  <c r="L533" i="5"/>
  <c r="J533" i="5"/>
  <c r="L532" i="5"/>
  <c r="J532" i="5"/>
  <c r="L531" i="5"/>
  <c r="J531" i="5"/>
  <c r="L530" i="5"/>
  <c r="J530" i="5"/>
  <c r="L529" i="5"/>
  <c r="J529" i="5"/>
  <c r="L528" i="5"/>
  <c r="J528" i="5"/>
  <c r="L482" i="5"/>
  <c r="J482" i="5"/>
  <c r="L481" i="5"/>
  <c r="J481" i="5"/>
  <c r="D480" i="5"/>
  <c r="L476" i="5"/>
  <c r="J476" i="5"/>
  <c r="L475" i="5"/>
  <c r="J475" i="5"/>
  <c r="L474" i="5"/>
  <c r="J474" i="5"/>
  <c r="L473" i="5"/>
  <c r="J473" i="5"/>
  <c r="L472" i="5"/>
  <c r="J472" i="5"/>
  <c r="L471" i="5"/>
  <c r="J471" i="5"/>
  <c r="L470" i="5"/>
  <c r="J470" i="5"/>
  <c r="L469" i="5"/>
  <c r="J469" i="5"/>
  <c r="L468" i="5"/>
  <c r="J468" i="5"/>
  <c r="L467" i="5"/>
  <c r="J467" i="5"/>
  <c r="L466" i="5"/>
  <c r="J466" i="5"/>
  <c r="L465" i="5"/>
  <c r="J465" i="5"/>
  <c r="L464" i="5"/>
  <c r="J464" i="5"/>
  <c r="L463" i="5"/>
  <c r="J463" i="5"/>
  <c r="L462" i="5"/>
  <c r="J462" i="5"/>
  <c r="L461" i="5"/>
  <c r="J461" i="5"/>
  <c r="L460" i="5"/>
  <c r="J460" i="5"/>
  <c r="L459" i="5"/>
  <c r="J459" i="5"/>
  <c r="L458" i="5"/>
  <c r="J458" i="5"/>
  <c r="L457" i="5"/>
  <c r="J457" i="5"/>
  <c r="L456" i="5"/>
  <c r="J456" i="5"/>
  <c r="L455" i="5"/>
  <c r="J455" i="5"/>
  <c r="L454" i="5"/>
  <c r="J454" i="5"/>
  <c r="L453" i="5"/>
  <c r="J453" i="5"/>
  <c r="L452" i="5"/>
  <c r="J452" i="5"/>
  <c r="L451" i="5"/>
  <c r="J451" i="5"/>
  <c r="L450" i="5"/>
  <c r="J450" i="5"/>
  <c r="L449" i="5"/>
  <c r="J449" i="5"/>
  <c r="L448" i="5"/>
  <c r="J448" i="5"/>
  <c r="L447" i="5"/>
  <c r="J447" i="5"/>
  <c r="L446" i="5"/>
  <c r="J446" i="5"/>
  <c r="L445" i="5"/>
  <c r="J445" i="5"/>
  <c r="L444" i="5"/>
  <c r="J444" i="5"/>
  <c r="L443" i="5"/>
  <c r="J443" i="5"/>
  <c r="L442" i="5"/>
  <c r="J442" i="5"/>
  <c r="L441" i="5"/>
  <c r="J441" i="5"/>
  <c r="L440" i="5"/>
  <c r="J440" i="5"/>
  <c r="L439" i="5"/>
  <c r="J439" i="5"/>
  <c r="L438" i="5"/>
  <c r="J438" i="5"/>
  <c r="L437" i="5"/>
  <c r="J437" i="5"/>
  <c r="L436" i="5"/>
  <c r="J436" i="5"/>
  <c r="L435" i="5"/>
  <c r="J435" i="5"/>
  <c r="L434" i="5"/>
  <c r="J434" i="5"/>
  <c r="L433" i="5"/>
  <c r="J433" i="5"/>
  <c r="L432" i="5"/>
  <c r="J432" i="5"/>
  <c r="L431" i="5"/>
  <c r="J431" i="5"/>
  <c r="L430" i="5"/>
  <c r="J430" i="5"/>
  <c r="L429" i="5"/>
  <c r="J429" i="5"/>
  <c r="L428" i="5"/>
  <c r="J428" i="5"/>
  <c r="L427" i="5"/>
  <c r="J427" i="5"/>
  <c r="L426" i="5"/>
  <c r="J426" i="5"/>
  <c r="L425" i="5"/>
  <c r="J425" i="5"/>
  <c r="L424" i="5"/>
  <c r="J424" i="5"/>
  <c r="L423" i="5"/>
  <c r="J423" i="5"/>
  <c r="L422" i="5"/>
  <c r="J422" i="5"/>
  <c r="L421" i="5"/>
  <c r="J421" i="5"/>
  <c r="L420" i="5"/>
  <c r="J420" i="5"/>
  <c r="L419" i="5"/>
  <c r="J419" i="5"/>
  <c r="L418" i="5"/>
  <c r="J418" i="5"/>
  <c r="L417" i="5"/>
  <c r="J417" i="5"/>
  <c r="L416" i="5"/>
  <c r="J416" i="5"/>
  <c r="L415" i="5"/>
  <c r="J415" i="5"/>
  <c r="L414" i="5"/>
  <c r="J414" i="5"/>
  <c r="L413" i="5"/>
  <c r="J413" i="5"/>
  <c r="L412" i="5"/>
  <c r="J412" i="5"/>
  <c r="L411" i="5"/>
  <c r="J411" i="5"/>
  <c r="L410" i="5"/>
  <c r="J410" i="5"/>
  <c r="L409" i="5"/>
  <c r="J409" i="5"/>
  <c r="L408" i="5"/>
  <c r="J408" i="5"/>
  <c r="L407" i="5"/>
  <c r="J407" i="5"/>
  <c r="L406" i="5"/>
  <c r="J406" i="5"/>
  <c r="D405" i="5"/>
  <c r="L401" i="5"/>
  <c r="J401" i="5"/>
  <c r="L400" i="5"/>
  <c r="J400" i="5"/>
  <c r="L399" i="5"/>
  <c r="J399" i="5"/>
  <c r="D398" i="5"/>
  <c r="L394" i="5"/>
  <c r="J394" i="5"/>
  <c r="L393" i="5"/>
  <c r="J393" i="5"/>
  <c r="L392" i="5"/>
  <c r="J392" i="5"/>
  <c r="L391" i="5"/>
  <c r="J391" i="5"/>
  <c r="D390" i="5"/>
  <c r="L386" i="5"/>
  <c r="J386" i="5"/>
  <c r="L385" i="5"/>
  <c r="J385" i="5"/>
  <c r="L384" i="5"/>
  <c r="J384" i="5"/>
  <c r="L383" i="5"/>
  <c r="J383" i="5"/>
  <c r="L382" i="5"/>
  <c r="J382" i="5"/>
  <c r="L381" i="5"/>
  <c r="J381" i="5"/>
  <c r="L380" i="5"/>
  <c r="J380" i="5"/>
  <c r="D380" i="5"/>
  <c r="L379" i="5"/>
  <c r="J379" i="5"/>
  <c r="L378" i="5"/>
  <c r="J378" i="5"/>
  <c r="L377" i="5"/>
  <c r="J377" i="5"/>
  <c r="L376" i="5"/>
  <c r="J376" i="5"/>
  <c r="L375" i="5"/>
  <c r="J375" i="5"/>
  <c r="L374" i="5"/>
  <c r="J374" i="5"/>
  <c r="L373" i="5"/>
  <c r="J373" i="5"/>
  <c r="L372" i="5"/>
  <c r="J372" i="5"/>
  <c r="L371" i="5"/>
  <c r="J371" i="5"/>
  <c r="L370" i="5"/>
  <c r="J370" i="5"/>
  <c r="L369" i="5"/>
  <c r="J369" i="5"/>
  <c r="L368" i="5"/>
  <c r="J368" i="5"/>
  <c r="L367" i="5"/>
  <c r="J367" i="5"/>
  <c r="L366" i="5"/>
  <c r="J366" i="5"/>
  <c r="L365" i="5"/>
  <c r="J365" i="5"/>
  <c r="L364" i="5"/>
  <c r="J364" i="5"/>
  <c r="L363" i="5"/>
  <c r="J363" i="5"/>
  <c r="L362" i="5"/>
  <c r="J362" i="5"/>
  <c r="L361" i="5"/>
  <c r="J361" i="5"/>
  <c r="L360" i="5"/>
  <c r="J360" i="5"/>
  <c r="L359" i="5"/>
  <c r="J359" i="5"/>
  <c r="L358" i="5"/>
  <c r="J358" i="5"/>
  <c r="L357" i="5"/>
  <c r="J357" i="5"/>
  <c r="L356" i="5"/>
  <c r="J356" i="5"/>
  <c r="L355" i="5"/>
  <c r="J355" i="5"/>
  <c r="L354" i="5"/>
  <c r="J354" i="5"/>
  <c r="L353" i="5"/>
  <c r="J353" i="5"/>
  <c r="L352" i="5"/>
  <c r="J352" i="5"/>
  <c r="L351" i="5"/>
  <c r="J351" i="5"/>
  <c r="L350" i="5"/>
  <c r="J350" i="5"/>
  <c r="L349" i="5"/>
  <c r="J349" i="5"/>
  <c r="L348" i="5"/>
  <c r="J348" i="5"/>
  <c r="L347" i="5"/>
  <c r="J347" i="5"/>
  <c r="L346" i="5"/>
  <c r="J346" i="5"/>
  <c r="L345" i="5"/>
  <c r="J345" i="5"/>
  <c r="L344" i="5"/>
  <c r="J344" i="5"/>
  <c r="L343" i="5"/>
  <c r="J343" i="5"/>
  <c r="L342" i="5"/>
  <c r="J342" i="5"/>
  <c r="L341" i="5"/>
  <c r="J341" i="5"/>
  <c r="L340" i="5"/>
  <c r="J340" i="5"/>
  <c r="L339" i="5"/>
  <c r="J339" i="5"/>
  <c r="L338" i="5"/>
  <c r="J338" i="5"/>
  <c r="L337" i="5"/>
  <c r="J337" i="5"/>
  <c r="L336" i="5"/>
  <c r="J336" i="5"/>
  <c r="L335" i="5"/>
  <c r="J335" i="5"/>
  <c r="L334" i="5"/>
  <c r="J334" i="5"/>
  <c r="L333" i="5"/>
  <c r="J333" i="5"/>
  <c r="L332" i="5"/>
  <c r="J332" i="5"/>
  <c r="L331" i="5"/>
  <c r="J331" i="5"/>
  <c r="L330" i="5"/>
  <c r="J330" i="5"/>
  <c r="L329" i="5"/>
  <c r="J329" i="5"/>
  <c r="L328" i="5"/>
  <c r="J328" i="5"/>
  <c r="L327" i="5"/>
  <c r="J327" i="5"/>
  <c r="L326" i="5"/>
  <c r="J326" i="5"/>
  <c r="L325" i="5"/>
  <c r="J325" i="5"/>
  <c r="L324" i="5"/>
  <c r="J324" i="5"/>
  <c r="L323" i="5"/>
  <c r="J323" i="5"/>
  <c r="L322" i="5"/>
  <c r="J322" i="5"/>
  <c r="L321" i="5"/>
  <c r="J321" i="5"/>
  <c r="L320" i="5"/>
  <c r="J320" i="5"/>
  <c r="L319" i="5"/>
  <c r="J319" i="5"/>
  <c r="L318" i="5"/>
  <c r="J318" i="5"/>
  <c r="L317" i="5"/>
  <c r="J317" i="5"/>
  <c r="L316" i="5"/>
  <c r="J316" i="5"/>
  <c r="L315" i="5"/>
  <c r="J315" i="5"/>
  <c r="L314" i="5"/>
  <c r="J314" i="5"/>
  <c r="L313" i="5"/>
  <c r="J313" i="5"/>
  <c r="L312" i="5"/>
  <c r="J312" i="5"/>
  <c r="L311" i="5"/>
  <c r="J311" i="5"/>
  <c r="D311" i="5"/>
  <c r="L310" i="5"/>
  <c r="J310" i="5"/>
  <c r="L309" i="5"/>
  <c r="J309" i="5"/>
  <c r="L308" i="5"/>
  <c r="J308" i="5"/>
  <c r="L307" i="5"/>
  <c r="J307" i="5"/>
  <c r="L292" i="5"/>
  <c r="J292" i="5"/>
  <c r="L291" i="5"/>
  <c r="J291" i="5"/>
  <c r="D291" i="5"/>
  <c r="L287" i="5"/>
  <c r="J287" i="5"/>
  <c r="L273" i="5"/>
  <c r="J273" i="5"/>
  <c r="L272" i="5"/>
  <c r="J272" i="5"/>
  <c r="L271" i="5"/>
  <c r="J271" i="5"/>
  <c r="D271" i="5"/>
  <c r="L267" i="5"/>
  <c r="J267" i="5"/>
  <c r="L266" i="5"/>
  <c r="J266" i="5"/>
  <c r="L265" i="5"/>
  <c r="J265" i="5"/>
  <c r="L264" i="5"/>
  <c r="J264" i="5"/>
  <c r="L263" i="5"/>
  <c r="J263" i="5"/>
  <c r="L262" i="5"/>
  <c r="J262" i="5"/>
  <c r="L261" i="5"/>
  <c r="J261" i="5"/>
  <c r="L260" i="5"/>
  <c r="J260" i="5"/>
  <c r="L246" i="5"/>
  <c r="J246" i="5"/>
  <c r="L245" i="5"/>
  <c r="J245" i="5"/>
  <c r="L244" i="5"/>
  <c r="J244" i="5"/>
  <c r="D244" i="5"/>
  <c r="L243" i="5"/>
  <c r="J243" i="5"/>
  <c r="L242" i="5"/>
  <c r="J242" i="5"/>
  <c r="L241" i="5"/>
  <c r="J241" i="5"/>
  <c r="L240" i="5"/>
  <c r="J240" i="5"/>
  <c r="L239" i="5"/>
  <c r="J239" i="5"/>
  <c r="L238" i="5"/>
  <c r="J238" i="5"/>
  <c r="L237" i="5"/>
  <c r="J237" i="5"/>
  <c r="L236" i="5"/>
  <c r="J236" i="5"/>
  <c r="L235" i="5"/>
  <c r="J235" i="5"/>
  <c r="L234" i="5"/>
  <c r="J234" i="5"/>
  <c r="L233" i="5"/>
  <c r="J233" i="5"/>
  <c r="L232" i="5"/>
  <c r="J232" i="5"/>
  <c r="L231" i="5"/>
  <c r="J231" i="5"/>
  <c r="L230" i="5"/>
  <c r="J230" i="5"/>
  <c r="L229" i="5"/>
  <c r="J229" i="5"/>
  <c r="L228" i="5"/>
  <c r="J228" i="5"/>
  <c r="L227" i="5"/>
  <c r="J227" i="5"/>
  <c r="L226" i="5"/>
  <c r="J226" i="5"/>
  <c r="L225" i="5"/>
  <c r="J225" i="5"/>
  <c r="L224" i="5"/>
  <c r="J224" i="5"/>
  <c r="L223" i="5"/>
  <c r="J223" i="5"/>
  <c r="L222" i="5"/>
  <c r="J222" i="5"/>
  <c r="L221" i="5"/>
  <c r="J221" i="5"/>
  <c r="L220" i="5"/>
  <c r="J220" i="5"/>
  <c r="L219" i="5"/>
  <c r="J219" i="5"/>
  <c r="L218" i="5"/>
  <c r="J218" i="5"/>
  <c r="L217" i="5"/>
  <c r="J217" i="5"/>
  <c r="L216" i="5"/>
  <c r="J216" i="5"/>
  <c r="L215" i="5"/>
  <c r="J215" i="5"/>
  <c r="L214" i="5"/>
  <c r="J214" i="5"/>
  <c r="L213" i="5"/>
  <c r="J213" i="5"/>
  <c r="L212" i="5"/>
  <c r="J212" i="5"/>
  <c r="L211" i="5"/>
  <c r="J211" i="5"/>
  <c r="L210" i="5"/>
  <c r="J210" i="5"/>
  <c r="L209" i="5"/>
  <c r="J209" i="5"/>
  <c r="D192" i="5"/>
  <c r="L173" i="5"/>
  <c r="J173" i="5"/>
  <c r="L172" i="5"/>
  <c r="J172" i="5"/>
  <c r="L171" i="5"/>
  <c r="J171" i="5"/>
  <c r="D171" i="5"/>
  <c r="L168" i="5"/>
  <c r="J168" i="5"/>
  <c r="L167" i="5"/>
  <c r="J167" i="5"/>
  <c r="L166" i="5"/>
  <c r="J166" i="5"/>
  <c r="L165" i="5"/>
  <c r="J165" i="5"/>
  <c r="L164" i="5"/>
  <c r="J164" i="5"/>
  <c r="L149" i="5"/>
  <c r="J149" i="5"/>
  <c r="L148" i="5"/>
  <c r="J148" i="5"/>
  <c r="L147" i="5"/>
  <c r="J147" i="5"/>
  <c r="D147" i="5"/>
  <c r="L146" i="5"/>
  <c r="J146" i="5"/>
  <c r="L145" i="5"/>
  <c r="J145" i="5"/>
  <c r="L144" i="5"/>
  <c r="J144" i="5"/>
  <c r="L143" i="5"/>
  <c r="J143" i="5"/>
  <c r="L142" i="5"/>
  <c r="J142" i="5"/>
  <c r="L141" i="5"/>
  <c r="J141" i="5"/>
  <c r="L140" i="5"/>
  <c r="J140" i="5"/>
  <c r="L139" i="5"/>
  <c r="J139" i="5"/>
  <c r="L138" i="5"/>
  <c r="J138" i="5"/>
  <c r="L137" i="5"/>
  <c r="J137" i="5"/>
  <c r="L136" i="5"/>
  <c r="J136" i="5"/>
  <c r="L135" i="5"/>
  <c r="J135" i="5"/>
  <c r="L134" i="5"/>
  <c r="J134" i="5"/>
  <c r="L133" i="5"/>
  <c r="J133" i="5"/>
  <c r="L132" i="5"/>
  <c r="J132" i="5"/>
  <c r="L131" i="5"/>
  <c r="J131" i="5"/>
  <c r="L130" i="5"/>
  <c r="J130" i="5"/>
  <c r="L129" i="5"/>
  <c r="J129" i="5"/>
  <c r="L128" i="5"/>
  <c r="J128" i="5"/>
  <c r="L127" i="5"/>
  <c r="J127" i="5"/>
  <c r="L126" i="5"/>
  <c r="J126" i="5"/>
  <c r="L125" i="5"/>
  <c r="J125" i="5"/>
  <c r="L124" i="5"/>
  <c r="J124" i="5"/>
  <c r="L123" i="5"/>
  <c r="J123" i="5"/>
  <c r="L122" i="5"/>
  <c r="J122" i="5"/>
  <c r="L121" i="5"/>
  <c r="J121" i="5"/>
  <c r="L120" i="5"/>
  <c r="J120" i="5"/>
  <c r="L119" i="5"/>
  <c r="J119" i="5"/>
  <c r="L118" i="5"/>
  <c r="J118" i="5"/>
  <c r="L117" i="5"/>
  <c r="J117" i="5"/>
  <c r="L102" i="5"/>
  <c r="J102" i="5"/>
  <c r="L101" i="5"/>
  <c r="J101" i="5"/>
  <c r="L100" i="5"/>
  <c r="J100" i="5"/>
  <c r="D100" i="5"/>
  <c r="L99" i="5"/>
  <c r="J99" i="5"/>
  <c r="L98" i="5"/>
  <c r="J98" i="5"/>
  <c r="L97" i="5"/>
  <c r="J97" i="5"/>
  <c r="L96" i="5"/>
  <c r="J96" i="5"/>
  <c r="L95" i="5"/>
  <c r="J95" i="5"/>
  <c r="L94" i="5"/>
  <c r="J94" i="5"/>
  <c r="L93" i="5"/>
  <c r="J93" i="5"/>
  <c r="L91" i="5"/>
  <c r="J91" i="5"/>
  <c r="L90" i="5"/>
  <c r="J90" i="5"/>
  <c r="L89" i="5"/>
  <c r="J89" i="5"/>
  <c r="L88" i="5"/>
  <c r="J88" i="5"/>
  <c r="L87" i="5"/>
  <c r="J87" i="5"/>
  <c r="L86" i="5"/>
  <c r="J86" i="5"/>
  <c r="L85" i="5"/>
  <c r="J85" i="5"/>
  <c r="L83" i="5"/>
  <c r="J83" i="5"/>
  <c r="L82" i="5"/>
  <c r="J82" i="5"/>
  <c r="L81" i="5"/>
  <c r="J81" i="5"/>
  <c r="L80" i="5"/>
  <c r="J80" i="5"/>
  <c r="L79" i="5"/>
  <c r="J79" i="5"/>
  <c r="L78" i="5"/>
  <c r="J78" i="5"/>
  <c r="L77" i="5"/>
  <c r="J77" i="5"/>
  <c r="L76" i="5"/>
  <c r="J76" i="5"/>
  <c r="L75" i="5"/>
  <c r="J75" i="5"/>
  <c r="L74" i="5"/>
  <c r="J74" i="5"/>
  <c r="L73" i="5"/>
  <c r="J73" i="5"/>
  <c r="L72" i="5"/>
  <c r="J72" i="5"/>
  <c r="L71" i="5"/>
  <c r="J71" i="5"/>
  <c r="L70" i="5"/>
  <c r="J70" i="5"/>
  <c r="L69" i="5"/>
  <c r="J69" i="5"/>
  <c r="L68" i="5"/>
  <c r="J68" i="5"/>
  <c r="L67" i="5"/>
  <c r="J67" i="5"/>
  <c r="L66" i="5"/>
  <c r="J66" i="5"/>
  <c r="L65" i="5"/>
  <c r="J65" i="5"/>
  <c r="L64" i="5"/>
  <c r="J64" i="5"/>
  <c r="L63" i="5"/>
  <c r="J63" i="5"/>
  <c r="L62" i="5"/>
  <c r="J62" i="5"/>
  <c r="L61" i="5"/>
  <c r="J61" i="5"/>
  <c r="L60" i="5"/>
  <c r="J60" i="5"/>
  <c r="L39" i="5"/>
  <c r="J39" i="5"/>
  <c r="L38" i="5"/>
  <c r="J38" i="5"/>
  <c r="L37" i="5"/>
  <c r="J37" i="5"/>
  <c r="L36" i="5"/>
  <c r="J36" i="5"/>
  <c r="L35" i="5"/>
  <c r="J35" i="5"/>
  <c r="L34" i="5"/>
  <c r="J34" i="5"/>
  <c r="L33" i="5"/>
  <c r="J33" i="5"/>
  <c r="L32" i="5"/>
  <c r="J32" i="5"/>
  <c r="L31" i="5"/>
  <c r="J31" i="5"/>
  <c r="L30" i="5"/>
  <c r="J30" i="5"/>
  <c r="L29" i="5"/>
  <c r="J29" i="5"/>
  <c r="L28" i="5"/>
  <c r="J28" i="5"/>
  <c r="L27" i="5"/>
  <c r="J27" i="5"/>
  <c r="L26" i="5"/>
  <c r="J26" i="5"/>
  <c r="L25" i="5"/>
  <c r="J25" i="5"/>
  <c r="L24" i="5"/>
  <c r="J24" i="5"/>
  <c r="L23" i="5"/>
  <c r="J23" i="5"/>
  <c r="L22" i="5"/>
  <c r="J22" i="5"/>
  <c r="L21" i="5"/>
  <c r="J21" i="5"/>
  <c r="L20" i="5"/>
  <c r="J20" i="5"/>
  <c r="L19" i="5"/>
  <c r="J19" i="5"/>
  <c r="L18" i="5"/>
  <c r="J18" i="5"/>
  <c r="L17" i="5"/>
  <c r="J17" i="5"/>
  <c r="L8" i="5"/>
  <c r="D5" i="5"/>
  <c r="E391" i="3"/>
  <c r="E389" i="3"/>
  <c r="E387" i="3"/>
  <c r="E385" i="3"/>
  <c r="E383" i="3"/>
  <c r="E381" i="3"/>
  <c r="E377" i="3"/>
  <c r="E375" i="3"/>
  <c r="E373" i="3"/>
  <c r="E371" i="3"/>
  <c r="E369" i="3"/>
  <c r="E365" i="3"/>
  <c r="E361" i="3"/>
  <c r="E359" i="3"/>
  <c r="E357" i="3"/>
  <c r="E355" i="3"/>
  <c r="E353" i="3"/>
  <c r="E347" i="3"/>
  <c r="E345" i="3"/>
  <c r="E343" i="3"/>
  <c r="E341" i="3"/>
  <c r="E339" i="3"/>
  <c r="E337" i="3"/>
  <c r="E335" i="3"/>
  <c r="E333" i="3"/>
  <c r="E331" i="3"/>
  <c r="E329" i="3"/>
  <c r="E327" i="3"/>
  <c r="E325" i="3"/>
  <c r="E323" i="3"/>
  <c r="E321" i="3"/>
  <c r="E319" i="3"/>
  <c r="E317" i="3"/>
  <c r="E315" i="3"/>
  <c r="E313" i="3"/>
  <c r="E311" i="3"/>
  <c r="E309" i="3"/>
  <c r="E307" i="3"/>
  <c r="E305" i="3"/>
  <c r="E303" i="3"/>
  <c r="E301" i="3"/>
  <c r="E299" i="3"/>
  <c r="E297" i="3"/>
  <c r="E295" i="3"/>
  <c r="E293" i="3"/>
  <c r="E291" i="3"/>
  <c r="E289" i="3"/>
  <c r="E287" i="3"/>
  <c r="E285" i="3"/>
  <c r="E283" i="3"/>
  <c r="E281" i="3"/>
  <c r="E279" i="3"/>
  <c r="E277" i="3"/>
  <c r="E275" i="3"/>
  <c r="E273" i="3"/>
  <c r="E271" i="3"/>
  <c r="E269" i="3"/>
  <c r="E267" i="3"/>
  <c r="E265" i="3"/>
  <c r="E263" i="3"/>
  <c r="E261" i="3"/>
  <c r="E259" i="3"/>
  <c r="E257" i="3"/>
  <c r="E255" i="3"/>
  <c r="E253" i="3"/>
  <c r="E251" i="3"/>
  <c r="E249" i="3"/>
  <c r="E247" i="3"/>
  <c r="E245" i="3"/>
  <c r="E243" i="3"/>
  <c r="E241" i="3"/>
  <c r="E239" i="3"/>
  <c r="E237" i="3"/>
  <c r="E235" i="3"/>
  <c r="E233" i="3"/>
  <c r="E231" i="3"/>
  <c r="E229" i="3"/>
  <c r="E227" i="3"/>
  <c r="E225" i="3"/>
  <c r="E223" i="3"/>
  <c r="E221" i="3"/>
  <c r="E219" i="3"/>
  <c r="E217" i="3"/>
  <c r="E215" i="3"/>
  <c r="E213" i="3"/>
  <c r="E211" i="3"/>
  <c r="E209" i="3"/>
  <c r="E207" i="3"/>
  <c r="E205" i="3"/>
  <c r="E203" i="3"/>
  <c r="E201" i="3"/>
  <c r="E199" i="3"/>
  <c r="E197" i="3"/>
  <c r="E195" i="3"/>
  <c r="E193" i="3"/>
  <c r="E191" i="3"/>
  <c r="E189" i="3"/>
  <c r="E187" i="3"/>
  <c r="E185" i="3"/>
  <c r="E183" i="3"/>
  <c r="E181" i="3"/>
  <c r="E179" i="3"/>
  <c r="E177" i="3"/>
  <c r="E175" i="3"/>
  <c r="E173" i="3"/>
  <c r="E171" i="3"/>
  <c r="E169" i="3"/>
  <c r="E167" i="3"/>
  <c r="E165" i="3"/>
  <c r="E163" i="3"/>
  <c r="E161" i="3"/>
  <c r="E159" i="3"/>
  <c r="E157" i="3"/>
  <c r="E155" i="3"/>
  <c r="E153" i="3"/>
  <c r="E151" i="3"/>
  <c r="E149" i="3"/>
  <c r="E147" i="3"/>
  <c r="E145" i="3"/>
  <c r="E143" i="3"/>
  <c r="E141" i="3"/>
  <c r="E139" i="3"/>
  <c r="E137" i="3"/>
  <c r="E135" i="3"/>
  <c r="E133" i="3"/>
  <c r="E131" i="3"/>
  <c r="E129" i="3"/>
  <c r="E127" i="3"/>
  <c r="E125" i="3"/>
  <c r="E123" i="3"/>
  <c r="E121" i="3"/>
  <c r="E119" i="3"/>
  <c r="E117" i="3"/>
  <c r="E115" i="3"/>
  <c r="E113" i="3"/>
  <c r="E111" i="3"/>
  <c r="E193" i="1"/>
  <c r="E191" i="1"/>
  <c r="E189" i="1"/>
  <c r="E187" i="1"/>
  <c r="E185" i="1"/>
  <c r="E183" i="1"/>
  <c r="E181" i="1"/>
  <c r="E179" i="1"/>
  <c r="E177" i="1"/>
  <c r="E175" i="1"/>
  <c r="E173" i="1"/>
  <c r="E171" i="1"/>
  <c r="E169" i="1"/>
  <c r="E167" i="1"/>
  <c r="E165" i="1"/>
  <c r="E163" i="1"/>
  <c r="E161" i="1"/>
  <c r="E159" i="1"/>
  <c r="E157" i="1"/>
  <c r="E155" i="1"/>
  <c r="E153" i="1"/>
  <c r="E151" i="1"/>
  <c r="E149" i="1"/>
  <c r="E147" i="1"/>
  <c r="E145" i="1"/>
  <c r="E143" i="1"/>
  <c r="E141" i="1"/>
  <c r="E139" i="1"/>
  <c r="E137" i="1"/>
  <c r="E135" i="1"/>
  <c r="E133" i="1"/>
  <c r="E131" i="1"/>
  <c r="E129" i="1"/>
  <c r="E127" i="1"/>
  <c r="E121" i="1"/>
  <c r="E119" i="1"/>
  <c r="E117" i="1"/>
  <c r="E115" i="1"/>
  <c r="E113" i="1"/>
  <c r="E111" i="1"/>
  <c r="E109" i="1"/>
  <c r="E107" i="1"/>
  <c r="E105" i="1"/>
  <c r="E103" i="1"/>
  <c r="E101" i="1"/>
  <c r="E99" i="1"/>
  <c r="E97" i="1"/>
  <c r="E95" i="1"/>
  <c r="E93" i="1"/>
  <c r="E91" i="1"/>
  <c r="E89" i="1"/>
  <c r="E87" i="1"/>
  <c r="E85" i="1"/>
  <c r="E83" i="1"/>
  <c r="E81" i="1"/>
  <c r="E79" i="1"/>
  <c r="E77" i="1"/>
  <c r="E75" i="1"/>
  <c r="E73" i="1"/>
  <c r="E71" i="1"/>
  <c r="E69" i="1"/>
  <c r="E67" i="1"/>
  <c r="E65" i="1"/>
  <c r="E63" i="1"/>
  <c r="E61" i="1"/>
  <c r="E59" i="1"/>
  <c r="E57" i="1"/>
  <c r="E55" i="1"/>
  <c r="E53" i="1"/>
  <c r="E51" i="1"/>
  <c r="E49" i="1"/>
  <c r="E47" i="1"/>
  <c r="E45" i="1"/>
  <c r="E43" i="1"/>
  <c r="E41" i="1"/>
  <c r="E39" i="1"/>
  <c r="E37" i="1"/>
  <c r="E35" i="1"/>
  <c r="E33" i="1"/>
  <c r="E31" i="1"/>
  <c r="E29" i="1"/>
  <c r="E27" i="1"/>
  <c r="E25" i="1"/>
  <c r="E23" i="1"/>
  <c r="E21" i="1"/>
  <c r="E19" i="1"/>
  <c r="E17" i="1"/>
  <c r="E450" i="2"/>
  <c r="E448" i="2"/>
  <c r="E446" i="2"/>
  <c r="E444" i="2"/>
  <c r="E442" i="2"/>
  <c r="E440" i="2"/>
  <c r="E438" i="2"/>
  <c r="E436" i="2"/>
  <c r="E434" i="2"/>
  <c r="E432" i="2"/>
  <c r="E430" i="2"/>
  <c r="E428" i="2"/>
  <c r="E426" i="2"/>
  <c r="E424" i="2"/>
  <c r="E422" i="2"/>
  <c r="E420" i="2"/>
  <c r="E418" i="2"/>
  <c r="E416" i="2"/>
  <c r="E414" i="2"/>
  <c r="E412" i="2"/>
  <c r="E410" i="2"/>
  <c r="E408" i="2"/>
  <c r="E406" i="2"/>
  <c r="E404" i="2"/>
  <c r="E402" i="2"/>
  <c r="E400" i="2"/>
  <c r="E398" i="2"/>
  <c r="E396" i="2"/>
  <c r="E394" i="2"/>
  <c r="E392" i="2"/>
  <c r="E390" i="2"/>
  <c r="E388" i="2"/>
  <c r="E386" i="2"/>
  <c r="E384" i="2"/>
  <c r="E382" i="2"/>
  <c r="E380" i="2"/>
  <c r="E378" i="2"/>
  <c r="E376" i="2"/>
  <c r="E374" i="2"/>
  <c r="E372" i="2"/>
  <c r="E370" i="2"/>
  <c r="E368" i="2"/>
  <c r="E366" i="2"/>
  <c r="E364" i="2"/>
  <c r="E362" i="2"/>
  <c r="E360" i="2"/>
  <c r="E358" i="2"/>
  <c r="E356" i="2"/>
  <c r="E354" i="2"/>
  <c r="E352" i="2"/>
  <c r="E350" i="2"/>
  <c r="E348" i="2"/>
  <c r="E346" i="2"/>
  <c r="E344" i="2"/>
  <c r="E342" i="2"/>
  <c r="E340" i="2"/>
  <c r="E338" i="2"/>
  <c r="E336" i="2"/>
  <c r="E334" i="2"/>
  <c r="E332" i="2"/>
  <c r="E330" i="2"/>
  <c r="E328" i="2"/>
  <c r="E326" i="2"/>
  <c r="E324" i="2"/>
  <c r="E322" i="2"/>
  <c r="E320" i="2"/>
  <c r="E318" i="2"/>
  <c r="E316" i="2"/>
  <c r="E314" i="2"/>
  <c r="E312" i="2"/>
  <c r="E310" i="2"/>
  <c r="E306" i="2"/>
  <c r="E304" i="2"/>
  <c r="E302" i="2"/>
  <c r="E300" i="2"/>
  <c r="E298" i="2"/>
  <c r="E296" i="2"/>
  <c r="E294" i="2"/>
  <c r="E292" i="2"/>
  <c r="E290" i="2"/>
  <c r="E288" i="2"/>
  <c r="E286" i="2"/>
  <c r="E284" i="2"/>
  <c r="E282" i="2"/>
  <c r="E280" i="2"/>
  <c r="E278" i="2"/>
  <c r="E276" i="2"/>
  <c r="E274" i="2"/>
  <c r="E272" i="2"/>
  <c r="E270" i="2"/>
  <c r="E268" i="2"/>
  <c r="E266" i="2"/>
  <c r="E264" i="2"/>
  <c r="E262" i="2"/>
  <c r="E260" i="2"/>
  <c r="E258" i="2"/>
  <c r="E256" i="2"/>
  <c r="E254" i="2"/>
  <c r="E252" i="2"/>
  <c r="E250" i="2"/>
  <c r="E248" i="2"/>
  <c r="E246" i="2"/>
  <c r="E244" i="2"/>
  <c r="E242" i="2"/>
  <c r="E240" i="2"/>
  <c r="E238" i="2"/>
  <c r="E236" i="2"/>
  <c r="E234" i="2"/>
  <c r="E232" i="2"/>
  <c r="E230" i="2"/>
  <c r="E228" i="2"/>
  <c r="E226" i="2"/>
  <c r="E224" i="2"/>
  <c r="E222" i="2"/>
  <c r="E220" i="2"/>
  <c r="E218" i="2"/>
  <c r="E216" i="2"/>
  <c r="E214" i="2"/>
  <c r="E212" i="2"/>
  <c r="E210" i="2"/>
  <c r="E208" i="2"/>
  <c r="E206" i="2"/>
  <c r="E204" i="2"/>
  <c r="E202" i="2"/>
  <c r="E200" i="2"/>
  <c r="E198" i="2"/>
  <c r="E196" i="2"/>
  <c r="E194" i="2"/>
  <c r="E192" i="2"/>
  <c r="E190" i="2"/>
  <c r="E188" i="2"/>
  <c r="E186" i="2"/>
  <c r="E184" i="2"/>
  <c r="E182" i="2"/>
  <c r="E180" i="2"/>
  <c r="E178" i="2"/>
  <c r="E176" i="2"/>
  <c r="E174" i="2"/>
  <c r="E172" i="2"/>
  <c r="E170" i="2"/>
  <c r="E168" i="2"/>
  <c r="E166" i="2"/>
  <c r="E164" i="2"/>
  <c r="E162" i="2"/>
  <c r="E160" i="2"/>
  <c r="E158" i="2"/>
  <c r="E156" i="2"/>
  <c r="E154" i="2"/>
  <c r="E152" i="2"/>
  <c r="E150" i="2"/>
  <c r="E148" i="2"/>
  <c r="E144" i="2"/>
  <c r="E142" i="2"/>
  <c r="E140" i="2"/>
  <c r="E138" i="2"/>
  <c r="E136" i="2"/>
  <c r="E134" i="2"/>
  <c r="E132" i="2"/>
  <c r="E130" i="2"/>
  <c r="E128" i="2"/>
  <c r="E126" i="2"/>
</calcChain>
</file>

<file path=xl/sharedStrings.xml><?xml version="1.0" encoding="utf-8"?>
<sst xmlns="http://schemas.openxmlformats.org/spreadsheetml/2006/main" count="3686" uniqueCount="1840">
  <si>
    <t>Номенклатура</t>
  </si>
  <si>
    <t xml:space="preserve"> 5-051 SMD, Инструмент, Пинцет прецизионный антимагнитный, 120мм, прямой\Bernstein</t>
  </si>
  <si>
    <t>БП-00000104</t>
  </si>
  <si>
    <t xml:space="preserve"> Gigant Молоток с фибергласовой рукояткой 300g HHT300-1</t>
  </si>
  <si>
    <t>БП-00000109</t>
  </si>
  <si>
    <t xml:space="preserve"> Inforce Набор инструментов 77 предметов 1/2" &amp; 1/4" 06-07-19</t>
  </si>
  <si>
    <t>БП-00000111</t>
  </si>
  <si>
    <t xml:space="preserve"> Knipex БОКОРЕЗЫ для электроники KN-7871125ESD</t>
  </si>
  <si>
    <t>БП-00000115</t>
  </si>
  <si>
    <t xml:space="preserve"> Knipex КЛЮЧ "КОБРА" универс. переставной KN-870115</t>
  </si>
  <si>
    <t>БП-00000116</t>
  </si>
  <si>
    <t xml:space="preserve"> Knipex КЛЮЧ "КОБРА" универс. переставной KN-8701250</t>
  </si>
  <si>
    <t>БП-00000117</t>
  </si>
  <si>
    <t xml:space="preserve"> Knipex КЛЮЧ КЛЕЩЕВОЙ KN-860318</t>
  </si>
  <si>
    <t>БП-00000118</t>
  </si>
  <si>
    <t xml:space="preserve"> Knipex КЛЮЧ КЛЕЩЕВОЙ KN-8603250</t>
  </si>
  <si>
    <t>БП-00000119</t>
  </si>
  <si>
    <t xml:space="preserve"> KRAFTOOL 3D-MINI Многофункциональные настольные тиски 65/38 мм 32714-65</t>
  </si>
  <si>
    <t>БП-00000122</t>
  </si>
  <si>
    <t xml:space="preserve"> KRAFTOOL Impact Набор отверток ударных 6 предметов 2502</t>
  </si>
  <si>
    <t>БП-00000124</t>
  </si>
  <si>
    <t xml:space="preserve"> Аппарат искусственной вентиляции легких R10 Masimo Spo2 стандарт</t>
  </si>
  <si>
    <t>БП-00000258</t>
  </si>
  <si>
    <t xml:space="preserve"> Зажим медицинский\200\металлический\, Инструмент</t>
  </si>
  <si>
    <t>БП-00000102</t>
  </si>
  <si>
    <t xml:space="preserve"> ПРАКТИК Стеллаж SBL 180KD-120x45-5 S2449937550</t>
  </si>
  <si>
    <t>БП-00000341</t>
  </si>
  <si>
    <t>(П-15-124) пинцет прямой анатомический 200мм (медицинская сталь) Sammar П-15-124, Инструмент</t>
  </si>
  <si>
    <t>БП-00000103</t>
  </si>
  <si>
    <t>608-384N, Инструмент, Кримпер для разъемов D-SUB  с максимальным сечением до 1 мм2.\ProsKit</t>
  </si>
  <si>
    <t>БП-00000105</t>
  </si>
  <si>
    <t xml:space="preserve">APECS Цилиндровый механизм SM-60-C-NI 3308 </t>
  </si>
  <si>
    <t>БП-00000431</t>
  </si>
  <si>
    <t>ATTEN Станция паяльная ST-1503 220В, 150 Вт, 80-600 C 142216</t>
  </si>
  <si>
    <t>БП-00000531</t>
  </si>
  <si>
    <t>AV Steel Комплект для демонтажа панелей салона и медиа устройств 25 предметов AV-921187</t>
  </si>
  <si>
    <t>БП-00000386</t>
  </si>
  <si>
    <t>BAKU зонд изогнутый медицинский 216230</t>
  </si>
  <si>
    <t>БП-00000313</t>
  </si>
  <si>
    <t>BORT Набор ручного инструмента BTK-65 91279187</t>
  </si>
  <si>
    <t>БП-00000047</t>
  </si>
  <si>
    <t>BRAUBERG Ластик электрический "JET", питание от 2 батареек ААА, 8 сменных ластиков, синий, 229616</t>
  </si>
  <si>
    <t>БП-00000259</t>
  </si>
  <si>
    <t>BRAUBERG Резинки банковские универсальные, 1000 г, 440051</t>
  </si>
  <si>
    <t>БП-00000468</t>
  </si>
  <si>
    <t>CAMOZZI R7900 12 ЗАГЛУШКА Д/УСТАНОВКИ В ФИТИНГ SRF50-7900-1200R</t>
  </si>
  <si>
    <t>БП-00000314</t>
  </si>
  <si>
    <t>Comfix Лента-липучка 5м х 25мм (упак: 1 шт / 1 цвет / черный) HLT-5K25-RP10000</t>
  </si>
  <si>
    <t>БП-00000387</t>
  </si>
  <si>
    <t>DP2031 источник питания\Rigol</t>
  </si>
  <si>
    <t>БП-00000106</t>
  </si>
  <si>
    <t>DRAGONKIT Шкаф для газового баллона 50 л., на 1 шт., с замком, 00-00004320</t>
  </si>
  <si>
    <t>БП-00000339</t>
  </si>
  <si>
    <t>Elcon Грунт-эмаль по ржавчине 3 в 1 матовая бежевая 520 мл аэрозоль 00-00462638</t>
  </si>
  <si>
    <t>БП-00000469</t>
  </si>
  <si>
    <t>ELEMENT Паяльный фен 858D 15291</t>
  </si>
  <si>
    <t>БП-00000532</t>
  </si>
  <si>
    <t>ELEMENT Флюс паяльный HR-500-LK 10 мл 17279</t>
  </si>
  <si>
    <t>БП-00000533</t>
  </si>
  <si>
    <t>FLAGMAN TOOLS FT-13B Комбинированное устройство для ПП-ленты 12-15мм PT00100055</t>
  </si>
  <si>
    <t>БП-00000505</t>
  </si>
  <si>
    <t>Fluke 179, Мультиметр цифровой True RMS (Госреестр РФ) \Fluke</t>
  </si>
  <si>
    <t>БП-00000099</t>
  </si>
  <si>
    <t>Forceberg Неодимовый магнит диск 10x3 мм с зенковкой 3.5/7 мм, 20шт, 9-1301005-020</t>
  </si>
  <si>
    <t>БП-00000432</t>
  </si>
  <si>
    <t xml:space="preserve">Formel Маскировочная лента Brown 36мм*40м FR6036 </t>
  </si>
  <si>
    <t>БП-00000388</t>
  </si>
  <si>
    <t>FORTISFLEX Хомут червячный PL-98-12 / W4 79965</t>
  </si>
  <si>
    <t>БП-00000534</t>
  </si>
  <si>
    <t>FUBAG Разъемное соединение рапид штуцер _елочка 8мм с обжимным кольцом 8x13мм 180161</t>
  </si>
  <si>
    <t>БП-00000260</t>
  </si>
  <si>
    <t>БП-00000535</t>
  </si>
  <si>
    <t>General Lighting Systems Фильтр сетевой 5 розеток, с заземлением и выключателем, 10 метров, 16А, Чер</t>
  </si>
  <si>
    <t>БП-00000470</t>
  </si>
  <si>
    <t>Gigant Professional Органайзер профессиональный пластмассовый GPMI-2</t>
  </si>
  <si>
    <t>БП-00000316</t>
  </si>
  <si>
    <t>Gigant Автоматический кернер GAPC-1</t>
  </si>
  <si>
    <t>БП-00000389</t>
  </si>
  <si>
    <t>GRIFF Штангенциркуль ШЦЦ-I- 200-0,01 ГОСТ 166-89 /пр-во Guilin Measuring/ D168014</t>
  </si>
  <si>
    <t>БП-00000110</t>
  </si>
  <si>
    <t xml:space="preserve">HG ЭВА листовой белый 25x25см х12мм, 1 шт 4961933 </t>
  </si>
  <si>
    <t>БП-00000433</t>
  </si>
  <si>
    <t xml:space="preserve">HG ЭВА листовой белый 25x25см х8мм, 1 шт 4961926 </t>
  </si>
  <si>
    <t>БП-00000434</t>
  </si>
  <si>
    <t>JTC Набор пинцетов из нержавеющей стали 5шт 7823</t>
  </si>
  <si>
    <t>БП-00000112</t>
  </si>
  <si>
    <t xml:space="preserve">JTC Отвертка крестовая PH1x300мм усиленная 7606 </t>
  </si>
  <si>
    <t>БП-00000282</t>
  </si>
  <si>
    <t>Keter Ящик для инструментов 5 DRAWERS TOOL CHEST SET (Блок из 5 секций для инструмента) 17199301</t>
  </si>
  <si>
    <t>БП-00000113</t>
  </si>
  <si>
    <t xml:space="preserve">Kinex (K-MET) Резьбомер М+W+G, 58 шаблонов 1148 </t>
  </si>
  <si>
    <t>БП-00000435</t>
  </si>
  <si>
    <t>Knipex Бокорезы 160 мм KN-7001160</t>
  </si>
  <si>
    <t>БП-00000114</t>
  </si>
  <si>
    <t>KNIPEX ПАССАТИЖИ удлиненные KN-0822145</t>
  </si>
  <si>
    <t>БП-00000120</t>
  </si>
  <si>
    <t>Knipex Плоскогубцы комбинированные, 180 мм, фосфатированные, 3-комп ручки KN-0302180</t>
  </si>
  <si>
    <t>БП-00000121</t>
  </si>
  <si>
    <t>KRAFTOOL Dead Blow Безинерционный молоток 900 г, 50 мм 2078-50</t>
  </si>
  <si>
    <t>БП-00000123</t>
  </si>
  <si>
    <t xml:space="preserve">Kraftool Набор сверл по металлу 19 шт 29651-H19 </t>
  </si>
  <si>
    <t>БП-00000390</t>
  </si>
  <si>
    <t>KraftWell БРС папа, елочка 8 мм, 1шт KRW-QC8M</t>
  </si>
  <si>
    <t>БП-00000263</t>
  </si>
  <si>
    <t xml:space="preserve">KRANZ Набор саморезов для ДСП, 255 шт. KR-01-3101-05 </t>
  </si>
  <si>
    <t>БП-00000391</t>
  </si>
  <si>
    <t xml:space="preserve">NBPT Фитинг заглушка PP10 арт. 52754 </t>
  </si>
  <si>
    <t>БП-00000317</t>
  </si>
  <si>
    <t xml:space="preserve">NBPT Фитинг заглушка PP4 арт. 52723 </t>
  </si>
  <si>
    <t>БП-00000318</t>
  </si>
  <si>
    <t xml:space="preserve">NBPT Фитинг заглушка PP6 арт. 52730 </t>
  </si>
  <si>
    <t>БП-00000319</t>
  </si>
  <si>
    <t xml:space="preserve">NBPT Фитинг заглушка PP8 арт. 52747 </t>
  </si>
  <si>
    <t>БП-00000320</t>
  </si>
  <si>
    <t xml:space="preserve">NBPT Фитинг заглушка PPF10 арт. 52709 </t>
  </si>
  <si>
    <t>БП-00000321</t>
  </si>
  <si>
    <t xml:space="preserve">NBPT Фитинг заглушка PPF12 арт. 52716 </t>
  </si>
  <si>
    <t>БП-00000322</t>
  </si>
  <si>
    <t>NBPT Фитинг заглушка PPF4 арт. 52679</t>
  </si>
  <si>
    <t>БП-00000323</t>
  </si>
  <si>
    <t xml:space="preserve">NBPT Фитинг заглушка PPF6 арт. 52686 </t>
  </si>
  <si>
    <t>БП-00000324</t>
  </si>
  <si>
    <t xml:space="preserve">NBPT Фитинг заглушка PPF8 арт. 52693 </t>
  </si>
  <si>
    <t>БП-00000325</t>
  </si>
  <si>
    <t xml:space="preserve">Nord-Yada Хомут червячный 10-16мм 907036 нерж.сталь 900254 </t>
  </si>
  <si>
    <t>БП-00000261</t>
  </si>
  <si>
    <t>NORDBERG Фильтр группа трехступенчатая до 0,01 мкм NP8595</t>
  </si>
  <si>
    <t>БП-00000160</t>
  </si>
  <si>
    <t>OLFA нож с выдвижным сегментированным лезвием, винтовой фиксатор, 18мм, OL-LTD-L-LFB</t>
  </si>
  <si>
    <t>БП-00000262</t>
  </si>
  <si>
    <t>Pegas pneumatic Разветвитель пневматический на 2 выхода Y-образный со штуцером 3303</t>
  </si>
  <si>
    <t>БП-00000161</t>
  </si>
  <si>
    <t>БП-00000326</t>
  </si>
  <si>
    <t>Pegas pneumatic Разветвитель пневматический на 3 выхода со штуцером 3304</t>
  </si>
  <si>
    <t>БП-00000162</t>
  </si>
  <si>
    <t>Power Cube Фильтр-удл. PC 5м 6р, бел. 16А/3,5кВт, SPG(5+1)-16B-5M</t>
  </si>
  <si>
    <t>БП-00000536</t>
  </si>
  <si>
    <t>PROLIFT Тележка гидравлическая AC 25 грузоподъемность 2500 кг, колеса полиуретан, вилы 800x550 мм AC</t>
  </si>
  <si>
    <t>БП-00000544</t>
  </si>
  <si>
    <t>QUICKO Термостойкий магнитный коврик для пайки и ремонта T-501 (450x300мм) QTST501</t>
  </si>
  <si>
    <t>БП-00000327</t>
  </si>
  <si>
    <t>Sata Набор отверток комбинированный крестовые и плоские из 8 предметов серия А 09306</t>
  </si>
  <si>
    <t>БП-00000125</t>
  </si>
  <si>
    <t>SHAHE Штангенциркуль ШЦЦ-1-150 0,01 электр. губ. 40мм с USB IP-54 выходом (ГРСИ № 92450-24) 1086095</t>
  </si>
  <si>
    <t>БП-00000436</t>
  </si>
  <si>
    <t>SHAHE Штангенциркуль ШЦЦ-1-200 0,01 с USB электр. губ. 50мм IP-54 (ГРСИ № 92450-24) 1040595</t>
  </si>
  <si>
    <t>БП-00000392</t>
  </si>
  <si>
    <t>Sila Универсальная аэрозольная эмаль home max paint ( бежевый ral1001; 520 мл) 00-00004725 SILP1001</t>
  </si>
  <si>
    <t>БП-00000471</t>
  </si>
  <si>
    <t xml:space="preserve">SPARTA Оловоотсос паяльный металлический// 913265 </t>
  </si>
  <si>
    <t>БП-00000537</t>
  </si>
  <si>
    <t>TDM ELECTRIC Припой ПОС 61, проволока, ГОСТ 21931-76, 1 мм, 100 г, катушка, серия "Алмаз" SQ1025-031</t>
  </si>
  <si>
    <t>БП-00000538</t>
  </si>
  <si>
    <t>TITAN LOCK Фитинг-заглушка цанговая пневматическая, 10 мм, пластик, тип PPF, TLP-PPF10</t>
  </si>
  <si>
    <t>БП-00000277</t>
  </si>
  <si>
    <t>TITAN LOCK Фитинг-заглушка цанговая пневматическая, 12 мм, пластик, тип PPF, TLP-PPF12</t>
  </si>
  <si>
    <t>БП-00000278</t>
  </si>
  <si>
    <t>TITAN LOCK Фитинг-заглушка цанговая пневматическая, 4 мм, пластик, тип PPF, TLP-PPF4</t>
  </si>
  <si>
    <t>БП-00000279</t>
  </si>
  <si>
    <t>TOPTUL Набор отверток 31 предмет в мягком ложементе GED3102</t>
  </si>
  <si>
    <t>БП-00000126</t>
  </si>
  <si>
    <t>Valtec Лента-фум 19ммх0,12ммх15м VT.PTFE.0.191215 81377</t>
  </si>
  <si>
    <t>БП-00000264</t>
  </si>
  <si>
    <t>W.E.P Коврик для пайки 440x310x15 мм термостойкий антистатический М7753598</t>
  </si>
  <si>
    <t>БП-00000328</t>
  </si>
  <si>
    <t>WERA НАБОР ОТВЁРТОК (шт) 2035/6 B SATZ 6 TLG. WE-118152</t>
  </si>
  <si>
    <t>БП-00000127</t>
  </si>
  <si>
    <t>Аппарат искусственной вентиляции легких R10 Comen SPO 2 стандарт</t>
  </si>
  <si>
    <t>БП-00000250</t>
  </si>
  <si>
    <t>Аппарат искусственной вентиляции легких R10 Nellkor Spo2 стандарт</t>
  </si>
  <si>
    <t>БП-00000253</t>
  </si>
  <si>
    <t>Аппарат искусственной вентиляции легких R30 Comen SPO 2 полная конфигурация</t>
  </si>
  <si>
    <t>БП-00000353</t>
  </si>
  <si>
    <t>Аппарат искусственной вентиляции легких R30 MASIMO SPO 2 Стандарт</t>
  </si>
  <si>
    <t>БП-00000355</t>
  </si>
  <si>
    <t>Аппарат искусственной вентиляции легких R30 NELLKOR SPO 2 стандарт</t>
  </si>
  <si>
    <t>БП-00000354</t>
  </si>
  <si>
    <t>Аппарат искусственной вентиляции легких R80 Comen SPO 2 полная конфигурация</t>
  </si>
  <si>
    <t>БП-00000356</t>
  </si>
  <si>
    <t>Аппарат искусственной вентиляции легких R80 MASIMO SPO 2 расширенный</t>
  </si>
  <si>
    <t>БП-00000359</t>
  </si>
  <si>
    <t>Аппарат искусственной вентиляции легких R80 MASIMO SPO 2 Стандарт</t>
  </si>
  <si>
    <t>БП-00000358</t>
  </si>
  <si>
    <t>Аппарат искусственной вентиляции легких R80 NELLKOR SPO 2 стандарт</t>
  </si>
  <si>
    <t>БП-00000357</t>
  </si>
  <si>
    <t>Веб-камера Logitech ConferenceCam Group 1920x1080 (2Mp, 30FPS, autofocus, 2xMic, USB 2.0) (910-00105</t>
  </si>
  <si>
    <t>БП-00000135</t>
  </si>
  <si>
    <t xml:space="preserve">ВОЛГА ПОЛИМЕР Скоба для пп ленты 15мм сталь 1000 шт PP-ST-15 </t>
  </si>
  <si>
    <t>БП-00000506</t>
  </si>
  <si>
    <t>Датчик кислорода ДК-30М7</t>
  </si>
  <si>
    <t>БП-00000198</t>
  </si>
  <si>
    <t>Дело Техники Набор ключей шестигр.с шаром 9 шт 1.5,2,2.5,3,4,5,6,8,10 мм "ДТ"/40 562091</t>
  </si>
  <si>
    <t>БП-00000539</t>
  </si>
  <si>
    <t xml:space="preserve">Дополнительная полка для оборудования серии Арбат 1800х300 мм </t>
  </si>
  <si>
    <t>БП-00000148</t>
  </si>
  <si>
    <t xml:space="preserve">ЗУБР Антимагнитный пинцет 160 мм, изогнутый 222116 </t>
  </si>
  <si>
    <t>БП-00000329</t>
  </si>
  <si>
    <t xml:space="preserve">Калибратор Fluke 718 100G </t>
  </si>
  <si>
    <t>БП-00000184</t>
  </si>
  <si>
    <t>КМ-24.OLD10K Компрессор безмасляный в шумозащитном корпусе Remeza 70л/м, 8 бар, 0,75Квт, V=24л, 220В</t>
  </si>
  <si>
    <t>БП-00000138</t>
  </si>
  <si>
    <t>КОБАЛЬТ Лобзик ручной пилка 170 мм, размер лобзика 180x310 мм, рукоятка из бука, 5 лезвий в комплект</t>
  </si>
  <si>
    <t>БП-00000472</t>
  </si>
  <si>
    <t>Комплект дыхательного контура для аппаратов ингаляционного наркоза и искусственной вентиляции легких</t>
  </si>
  <si>
    <t>БП-00000426</t>
  </si>
  <si>
    <t>БП-00000427</t>
  </si>
  <si>
    <t>БП-00000428</t>
  </si>
  <si>
    <t>БП-00000429</t>
  </si>
  <si>
    <t>БП-00000430</t>
  </si>
  <si>
    <t>Коннектор №1 22F-22M</t>
  </si>
  <si>
    <t>БП-00000461</t>
  </si>
  <si>
    <t>Коннектор прямой 22М-22М</t>
  </si>
  <si>
    <t>БП-00000460</t>
  </si>
  <si>
    <t>Кордленд Полипропиленовая Стреппинг Лента15x1х1,2км (270кгс) серый, М/ПА PP-00683</t>
  </si>
  <si>
    <t>БП-00000507</t>
  </si>
  <si>
    <t>Лицензия на право использования программного обеспечения: Классификатор ЕСКД V2.08 (приложение для К</t>
  </si>
  <si>
    <t>БП-00000156</t>
  </si>
  <si>
    <t>Лицензия на право использования программного обеспечения: КОМПАС-3D v23, система трехмерного моделир</t>
  </si>
  <si>
    <t>БП-00000151</t>
  </si>
  <si>
    <t>Лицензия на право использования программного обеспечения: ЛОЦМАН:PLM 23.2 Архив (постоянная лицензия</t>
  </si>
  <si>
    <t>БП-00000193</t>
  </si>
  <si>
    <t>Лицензия на право использования программного обеспечения: ЛОЦМАН:PLM 23.2 Про (постоянная лицензия)</t>
  </si>
  <si>
    <t>БП-00000188</t>
  </si>
  <si>
    <t>Лицензия на право использования программного обеспечения: ЛОЦМАН:PLM 23.2 Стандарт (постоянная лицен</t>
  </si>
  <si>
    <t>БП-00000187</t>
  </si>
  <si>
    <t>Лицензия на право использования программного обеспечения: Материалы и Сортаменты для КОМПАС v23 (при</t>
  </si>
  <si>
    <t>БП-00000152</t>
  </si>
  <si>
    <t>Лицензия на право использования программного обеспечения: Нормирование материалов 23.2 (постоянная л</t>
  </si>
  <si>
    <t>БП-00000192</t>
  </si>
  <si>
    <t xml:space="preserve">Лицензия на право использования программного обеспечения: Нормирование трудозатрат 23.2 (постоянная </t>
  </si>
  <si>
    <t>БП-00000191</t>
  </si>
  <si>
    <t>Лицензия на право использования программного обеспечения: Обновление "Материалы и Сортаменты для КОМ</t>
  </si>
  <si>
    <t>БП-00000194</t>
  </si>
  <si>
    <t>Лицензия на право использования программного обеспечения: Обновление "Стандартные Изделия: Детали, у</t>
  </si>
  <si>
    <t>БП-00000195</t>
  </si>
  <si>
    <t>Лицензия на право использования программного обеспечения: Обновление "Стандартные изделия: Крепеж дл</t>
  </si>
  <si>
    <t>БП-00000196</t>
  </si>
  <si>
    <t>Лицензия на право использования программного обеспечения: Обновление "Стандартные Изделия: Электриче</t>
  </si>
  <si>
    <t>БП-00000197</t>
  </si>
  <si>
    <t>Лицензия на право использования программного обеспечения: ПОЛИНОМ:MDM 23.2 Справочник технолога (пос</t>
  </si>
  <si>
    <t>БП-00000190</t>
  </si>
  <si>
    <t>Лицензия на право использования программного обеспечения: ПОЛИНОМ:МDМ 23.2 Материалы и Сортаменты (п</t>
  </si>
  <si>
    <t>БП-00000396</t>
  </si>
  <si>
    <t>Лицензия на право использования программного обеспечения: ПОЛИНОМ:МDМ 23.2 Стандартные Изделия: Дета</t>
  </si>
  <si>
    <t>БП-00000398</t>
  </si>
  <si>
    <t>Лицензия на право использования программного обеспечения: ПОЛИНОМ:МDМ 23.2 Стандартные Изделия: Креп</t>
  </si>
  <si>
    <t>БП-00000397</t>
  </si>
  <si>
    <t>Лицензия на право использования программного обеспечения: САПР ТП ВЕРТИКАЛЬ 23.2. Система автоматизи</t>
  </si>
  <si>
    <t>БП-00000189</t>
  </si>
  <si>
    <t>Лицензия на право использования программного обеспечения: Стандартные Изделия: Детали, узлы и констр</t>
  </si>
  <si>
    <t>БП-00000153</t>
  </si>
  <si>
    <t>Лицензия на право использования программного обеспечения: Стандартные Изделия: Крепеж для КОМПАС v23</t>
  </si>
  <si>
    <t>БП-00000154</t>
  </si>
  <si>
    <t>Лицензия на право использования программного обеспечения: Стандартные Изделия: Электрические аппарат</t>
  </si>
  <si>
    <t>БП-00000155</t>
  </si>
  <si>
    <t xml:space="preserve">Модульный монитор пациента М15 Comen SPO 2 с принадлежностями </t>
  </si>
  <si>
    <t>БП-00000363</t>
  </si>
  <si>
    <t>Модульный монитор пациента М15 Masimo SPO 2 с принадлежностями</t>
  </si>
  <si>
    <t>БП-00000365</t>
  </si>
  <si>
    <t xml:space="preserve">Модульный монитор пациента М15 Nellkor SPO 2 с принадлежностями </t>
  </si>
  <si>
    <t>БП-00000364</t>
  </si>
  <si>
    <t>Модульный монитор пациента М18 с принадлежностями</t>
  </si>
  <si>
    <t>БП-00000366</t>
  </si>
  <si>
    <t>Наркозно-дыхательный аппарат AX600, комплектация полная</t>
  </si>
  <si>
    <t>БП-00000437</t>
  </si>
  <si>
    <t>Наркозно-дыхательный аппарат AX800, комплектация без испарителя</t>
  </si>
  <si>
    <t>БП-00000438</t>
  </si>
  <si>
    <t>Наркозно-дыхательный аппарат AX900 комплектация без испарителя</t>
  </si>
  <si>
    <t>БП-00000439</t>
  </si>
  <si>
    <t>Нож OLFA для графических работ, корпус из нержавеющей стали, 9мм OL-SAC-1</t>
  </si>
  <si>
    <t>БП-00000265</t>
  </si>
  <si>
    <t>Нож OLFA с выдвижным лезвием, с автофиксатором, 18мм OL-EXL</t>
  </si>
  <si>
    <t>БП-00000266</t>
  </si>
  <si>
    <t>НПС Развитие Мат компенсационный 30x1000x1000мм 4620018382750</t>
  </si>
  <si>
    <t>БП-00000540</t>
  </si>
  <si>
    <t>НПС Развитие Мат компенсационный 40x1000x1000мм 4620018382774</t>
  </si>
  <si>
    <t>БП-00000541</t>
  </si>
  <si>
    <t>НПС Развитие Мат компенсационный 50x1000x1000мм 4620018382811</t>
  </si>
  <si>
    <t>БП-00000542</t>
  </si>
  <si>
    <t>Освещение рабочей поверхности светодиодное, для столов 1800</t>
  </si>
  <si>
    <t>БП-00000149</t>
  </si>
  <si>
    <t>Основная полка для оборудования серии Арбат 1800х400 мм</t>
  </si>
  <si>
    <t>БП-00000147</t>
  </si>
  <si>
    <t>Панель перфорированная стальная для столов 1800 (1/2)</t>
  </si>
  <si>
    <t>БП-00000145</t>
  </si>
  <si>
    <t>Панель электромонтажная для столов 1800 (1/2)</t>
  </si>
  <si>
    <t>БП-00000146</t>
  </si>
  <si>
    <t>Переносной газоанализатор кислорода ПКГ-4 Н-К-П (пластмассовый корпус, ЖК-дисплей) с выносным датчи</t>
  </si>
  <si>
    <t>БП-00000137</t>
  </si>
  <si>
    <t>Пинцет Proskit прямой усиленный 1PK-123T 50/165 мм, Инструмент</t>
  </si>
  <si>
    <t>БП-00000101</t>
  </si>
  <si>
    <t xml:space="preserve">Подкатная тумба 490*580*580 мм </t>
  </si>
  <si>
    <t>БП-00000143</t>
  </si>
  <si>
    <t>ПРАКТИК Стеллаж MS 185/100x60/4 S24199156402</t>
  </si>
  <si>
    <t>БП-00000340</t>
  </si>
  <si>
    <t>ПРАКТИК Стеллаж SBL 180KD-120x40-5 S24499375309</t>
  </si>
  <si>
    <t>БП-00000543</t>
  </si>
  <si>
    <t>РМЕП.741344.001 Фиксатор стропы</t>
  </si>
  <si>
    <t>БП-00000463</t>
  </si>
  <si>
    <t xml:space="preserve">РМЕП.745322.001 Планка фиксации ремня </t>
  </si>
  <si>
    <t>БП-00000464</t>
  </si>
  <si>
    <t xml:space="preserve">РМЕП.745422.001 Кронштейн крепления </t>
  </si>
  <si>
    <t>БП-00000465</t>
  </si>
  <si>
    <t>РМЕП.745511.005 Опора демпфера</t>
  </si>
  <si>
    <t>БП-00000466</t>
  </si>
  <si>
    <t xml:space="preserve">РМЕП.745532.001 Кронштейн опоры баллонов </t>
  </si>
  <si>
    <t>БП-00000467</t>
  </si>
  <si>
    <t xml:space="preserve">СЕМ DT-61 Мультиметр 6 в 1 480496 </t>
  </si>
  <si>
    <t>БП-00000163</t>
  </si>
  <si>
    <t xml:space="preserve">Сервис Ключ Набор машинных гаек и болтов 420 предметов 73420 </t>
  </si>
  <si>
    <t>БП-00000393</t>
  </si>
  <si>
    <t xml:space="preserve">Средняя стойка для столов серии Арбат 1800 </t>
  </si>
  <si>
    <t>БП-00000144</t>
  </si>
  <si>
    <t xml:space="preserve">Стол основной серии Арбат 1800*700 мм </t>
  </si>
  <si>
    <t>БП-00000142</t>
  </si>
  <si>
    <t xml:space="preserve">Термогигрометр RGK TH-10 С ПОВЕРКОЙ </t>
  </si>
  <si>
    <t>БП-00000159</t>
  </si>
  <si>
    <t>Тестовое легкое неонатальное</t>
  </si>
  <si>
    <t>БП-00000150</t>
  </si>
  <si>
    <t xml:space="preserve">Транспортный монитор пациента М1 Comen SPO 2 с принадлежностями </t>
  </si>
  <si>
    <t>БП-00000360</t>
  </si>
  <si>
    <t xml:space="preserve">Транспортный монитор пациента М1 Masimo SPO 2 с принадлежностями </t>
  </si>
  <si>
    <t>БП-00000362</t>
  </si>
  <si>
    <t>Транспортный монитор пациента М1 Nellkor SPO 2 с принадлежностями</t>
  </si>
  <si>
    <t>БП-00000361</t>
  </si>
  <si>
    <t>Трубка гофр нерастяжимая ф 22 х 3000 мм</t>
  </si>
  <si>
    <t>БП-00000459</t>
  </si>
  <si>
    <t>ТУНДРА Наперсток-кольцо , для обрезки строп, ниток, лески, проводов, 3 шт. 10090357</t>
  </si>
  <si>
    <t>БП-00000473</t>
  </si>
  <si>
    <t>Устройства дыхательные для совместного использования с анестезиологическим и реанимационным оборудов</t>
  </si>
  <si>
    <t>БП-00000454</t>
  </si>
  <si>
    <t>БП-00000455</t>
  </si>
  <si>
    <t>БП-00000456</t>
  </si>
  <si>
    <t>БП-00000457</t>
  </si>
  <si>
    <t xml:space="preserve">Фен технический CROWN CT19007 BMC </t>
  </si>
  <si>
    <t>БП-00000333</t>
  </si>
  <si>
    <t xml:space="preserve">Фильтр дыхательный нестерильный по ТУ 35.50.21-006-73064893-2020 с принадлежностями (дФ REF 9321000 </t>
  </si>
  <si>
    <t>БП-00000458</t>
  </si>
  <si>
    <t>ЧИЗ Линейка стальная измерительная 300мм ГОСТ с ПОВЕРКОЙ (ГРСИ №66266-16) 212039а</t>
  </si>
  <si>
    <t>БП-00000046</t>
  </si>
  <si>
    <t xml:space="preserve">Штангенциркуль ШЦЦ-1-150 0,01 электр. губ. 40мм с USB выходом (ГРСИ № 92450-24) SHAHE </t>
  </si>
  <si>
    <t>БП-00000381</t>
  </si>
  <si>
    <t xml:space="preserve">Штангенциркуль электронный Matrix 150 мм (31611) </t>
  </si>
  <si>
    <t>БП-00000080</t>
  </si>
  <si>
    <t xml:space="preserve">ЭБИС Лента ПП ременная 30 мм (50м) черная 70524 </t>
  </si>
  <si>
    <t>БП-00000394</t>
  </si>
  <si>
    <t>Дрель-шуруповерт аккумуляторная 24В Ресанта ДА-24-2ЛК (75/14/7)</t>
  </si>
  <si>
    <t>БП-00000336</t>
  </si>
  <si>
    <t>Клавиатура A4 KV-300H серый/черный USB slim</t>
  </si>
  <si>
    <t>БП-00000055</t>
  </si>
  <si>
    <t>Клавиатура A4Tech Fstyler FBX50C белый USB беспроводная BT/Radio slim Multimedia (FBX50C WHITE) (100</t>
  </si>
  <si>
    <t>БП-00000023</t>
  </si>
  <si>
    <t>Клавиатура A4Tech Fstyler FBX50C серый USB/BT (FBX50C GREY)</t>
  </si>
  <si>
    <t>БП-00000053</t>
  </si>
  <si>
    <t>Клавиатура ProMega jet WK001 USB WLS radio/1 ААА/черный</t>
  </si>
  <si>
    <t>БП-00000497</t>
  </si>
  <si>
    <t>Клавиатура беспроводная A4Tech Fstyler FBX50C [1678068]</t>
  </si>
  <si>
    <t>БП-00000270</t>
  </si>
  <si>
    <t>Клавиатура+мышь проводная Logitech Desktop MK120 (920-002589) Black</t>
  </si>
  <si>
    <t>БП-00000130</t>
  </si>
  <si>
    <t>Тонер-картридж Комус 117A W2070A чер. для HP 150/MFP 178/179</t>
  </si>
  <si>
    <t>БП-00000211</t>
  </si>
  <si>
    <t xml:space="preserve">Тонер-картридж Комус 117A W2071A гол. HP для 150/MFP 178/179 </t>
  </si>
  <si>
    <t>БП-00000210</t>
  </si>
  <si>
    <t xml:space="preserve">Тонер-картридж Комус 117A W2072A жел. HP для 150/MFP 178/179 </t>
  </si>
  <si>
    <t>БП-00000216</t>
  </si>
  <si>
    <t>Тонер-картридж Комус 117A W2073A пур. для HP 150/MFP 178/179</t>
  </si>
  <si>
    <t>БП-00000215</t>
  </si>
  <si>
    <t>Фонарь налобный ЯРКИЙ ЛУЧ LH-400 Cobra PRO сенс.вкл/выкл, Li-ion 2600mAh</t>
  </si>
  <si>
    <t>БП-00000501</t>
  </si>
  <si>
    <t>Диспенсер напольный SMIXX(E) 16LD/E (серебристый) - электронное охлаждение</t>
  </si>
  <si>
    <t>БП-00000034</t>
  </si>
  <si>
    <t>Помпа механическая SMIXX MAXIMUM (ручная)</t>
  </si>
  <si>
    <t>БП-00000078</t>
  </si>
  <si>
    <t>Брошюровщик ProfiOffice Bindstream K1451, А4, 14л./450л., пл.пруж.</t>
  </si>
  <si>
    <t>БП-00000056</t>
  </si>
  <si>
    <t>Дифференциальный манометр МЕГЕОН 51016 с поверкой</t>
  </si>
  <si>
    <t>БП-00000141</t>
  </si>
  <si>
    <t>Доска магнитно-маркерная 75x100 BoardSYS Twist, мобильн., поворотн</t>
  </si>
  <si>
    <t>БП-00000054</t>
  </si>
  <si>
    <t>Доска магнитно-маркерная Attache Twist 100х150 лак вращ., на роликах Россия</t>
  </si>
  <si>
    <t>БП-00000050</t>
  </si>
  <si>
    <t>Жесткий диск HDD 8Tb Seagate IronWolf ST8000VN004 3.5" SATA 6Gb/s 256Mb 7200rpm для NAS (10005030/18</t>
  </si>
  <si>
    <t>БП-00000022</t>
  </si>
  <si>
    <t>ИБП CROWN ИБП CMU-SP800 COMBO {800VA металл,1x12V/9AH, розетки 2*IEC + 2*EURO} CM000001494</t>
  </si>
  <si>
    <t>БП-00000269</t>
  </si>
  <si>
    <t>ИБП UPS PowerCom Macan MRT-3000SE {On-Line, 3000VA / 3000W, Rack/Tower, IEC, LCD, Serial+USB, SmartS</t>
  </si>
  <si>
    <t>БП-00000175</t>
  </si>
  <si>
    <t>Кофемашина DeLonghi ECAM22.114.B</t>
  </si>
  <si>
    <t>БП-00000075</t>
  </si>
  <si>
    <t>Маршрутизатор Keenetic GIGA (KN-1012) [AX3000, 4xGbE+1x2,5GbE/SFP Combo, USB 2.0, USB 3.0, MT7981B 1</t>
  </si>
  <si>
    <t>БП-00000563</t>
  </si>
  <si>
    <t>Маршрутизатор Гибабитный Keenetic Giga (KN-1012) с двухдиапазонным Mesh Wi-Fi 6 AX1800</t>
  </si>
  <si>
    <t>БП-00000384</t>
  </si>
  <si>
    <t>Микроволновая печь JVC JK-MW147M, 700ВТ, 20л., серебристый</t>
  </si>
  <si>
    <t>БП-00000060</t>
  </si>
  <si>
    <t>Монитор 23.8" MSI PRO MP2412 1920x1080@100 Гц, VA, LED, 4000:1, 300 Кд/м?, 178°/178°, DisplayPort 1.</t>
  </si>
  <si>
    <t>БП-00000024</t>
  </si>
  <si>
    <t>Монитор 27" Dell UltraSharp U2724D, 2560x1440, IPS, 120Гц, 1хHDMI, 1хDP, серебристый/черный</t>
  </si>
  <si>
    <t>БП-00000267</t>
  </si>
  <si>
    <t>Монитор Dell 31.5" P3223QE черный IPS LED</t>
  </si>
  <si>
    <t>БП-00000025</t>
  </si>
  <si>
    <t>МФУ Kyocera ECOSYS M2040dn [Принтер/Копир/Сканер: A4 1200x1200dpi 40ppm 512(1536)Mb Duplex LAN USB2.</t>
  </si>
  <si>
    <t>БП-00000048</t>
  </si>
  <si>
    <t>МФУ Kyocera MA2001 Laser черный, 20 стр/мин, 600 x 600 dpi, USB, 32Мб (10228010/271224/5375378, ВЬЕТ</t>
  </si>
  <si>
    <t>БП-00000027</t>
  </si>
  <si>
    <t>Настраиваемый коммутатор D-Link DGS-1210-20/F2A WebSmart с 16 портами 10/100/1000</t>
  </si>
  <si>
    <t>БП-00000174</t>
  </si>
  <si>
    <t>Неттоп Chuwi CoreBox Core i5-12450H/16GB/512GB SSD/Win11 Pro</t>
  </si>
  <si>
    <t>БП-00000133</t>
  </si>
  <si>
    <t>Ноутбук ASUS VivoBook Go 15  Mixed Black 15.6" OLED Ryzen 5 7520U/16384Mb/512PCISSDGb/Win11/Office20</t>
  </si>
  <si>
    <t>БП-00000029</t>
  </si>
  <si>
    <t xml:space="preserve">ПРАКТИК Стеллаж MS 185/100x60/4 S24199156402 </t>
  </si>
  <si>
    <t>БП-00000280</t>
  </si>
  <si>
    <t xml:space="preserve">ПРАКТИК Стеллаж SBL 180KD-120x45-5 S24499375509 </t>
  </si>
  <si>
    <t>БП-00000281</t>
  </si>
  <si>
    <t>Принтер лазерный HP Color LaserJet 150nw (4ZB95A) A4 WiFi (10228010/090724/5179661/007, КИТАЙ)</t>
  </si>
  <si>
    <t>БП-00000030</t>
  </si>
  <si>
    <t>Роутер Keenetic Giga KN-1012 || Подключение: Ethernet, Wi-Fi 802.11 b, a, g, n, ac, ax, частотный ди</t>
  </si>
  <si>
    <t>БП-00000039</t>
  </si>
  <si>
    <t>Роутер Keenetic Ultra KN-1811 || Подключение: Ethernet, 4G, Wi-Fi 802.11 b, a, g, n, ac, ax, частотн</t>
  </si>
  <si>
    <t>БП-00000038</t>
  </si>
  <si>
    <t>Система хранения данных Synology QC1,7GhzCPU/2GB DDR4/RAID0,1/up to 2hot plug HDDs SATA(3,5'')/2xUSB</t>
  </si>
  <si>
    <t>БП-00000033</t>
  </si>
  <si>
    <t>Телевизор LED 55" (139.7 см) Haier 55 Smart TV S2 [4K UltraHD, 3840x2160, Smart TV]</t>
  </si>
  <si>
    <t>БП-00000129</t>
  </si>
  <si>
    <t>Холодильник Б-109 БИРЮСА</t>
  </si>
  <si>
    <t>БП-00000077</t>
  </si>
  <si>
    <t>Чайник SCARLETT SC-EK21S72, 2200Вт, 1.8л, сталь</t>
  </si>
  <si>
    <t>БП-00000059</t>
  </si>
  <si>
    <t>Шкаф Cabeus SH-05C-27U60/100</t>
  </si>
  <si>
    <t>БП-00000173</t>
  </si>
  <si>
    <t xml:space="preserve">Шредер (уничтожитель) Cactus CS-SH-8-13-5X18, 4 ур.секр, 8 лист., 13л </t>
  </si>
  <si>
    <t>БП-00000088</t>
  </si>
  <si>
    <t>Этикет-принтер Puty PT-100ECH ручной рус/англ  (с чипом)</t>
  </si>
  <si>
    <t>БП-00000219</t>
  </si>
  <si>
    <t>кол-во</t>
  </si>
  <si>
    <t>Общая стоимость товара</t>
  </si>
  <si>
    <t>№п/п</t>
  </si>
  <si>
    <t>Амортизационная группа</t>
  </si>
  <si>
    <t>Инв№</t>
  </si>
  <si>
    <t>Код ТН ВЭД</t>
  </si>
  <si>
    <t>Регистрационный номер в Реестре отечественного ПО</t>
  </si>
  <si>
    <t>Амортизируемое имущество ООО "РМЕД" от 30.09.2025 (более 10,000 тыс. рублей)</t>
  </si>
  <si>
    <t>Общий список оборудования АО "НПО "РМЕД" с инв. №</t>
  </si>
  <si>
    <t>Кол-во</t>
  </si>
  <si>
    <t>Аппарат искусственной вентиляции легких R10 Masimo Spo2 стандарт</t>
  </si>
  <si>
    <t>Примечание</t>
  </si>
  <si>
    <t>Промаркировать не представляется возможным</t>
  </si>
  <si>
    <t>Промаркировано</t>
  </si>
  <si>
    <t>Ива И10</t>
  </si>
  <si>
    <t>Ива И30</t>
  </si>
  <si>
    <t>Ива И50</t>
  </si>
  <si>
    <t>промаркирован</t>
  </si>
  <si>
    <t>Легенда</t>
  </si>
  <si>
    <t>Расходные материалы, не требующие маркировки, или инструмент в виду эксплуатации маркировка не целеебразна</t>
  </si>
  <si>
    <t>Расходные части для локализации</t>
  </si>
  <si>
    <t>Расходные части для локализации (упаковка)</t>
  </si>
  <si>
    <t>Расходные части для испытаний</t>
  </si>
  <si>
    <t>Расходка для локализации</t>
  </si>
  <si>
    <t>Маркировать нельзя</t>
  </si>
  <si>
    <t>Расходка для локалищации</t>
  </si>
  <si>
    <t>Наименование оборудования РМед</t>
  </si>
  <si>
    <t>Алтей М10</t>
  </si>
  <si>
    <t>Алтей М30</t>
  </si>
  <si>
    <t>Алтей М50</t>
  </si>
  <si>
    <t>Кедр К10</t>
  </si>
  <si>
    <t>Кедр К30</t>
  </si>
  <si>
    <t>Кедр К50</t>
  </si>
  <si>
    <t>НДА, ИВЛ, Мониторы пациента</t>
  </si>
  <si>
    <t>Медицинское оборудование</t>
  </si>
  <si>
    <t>Имущество отнесенное к НИОКР АО "НПО "РМед" (в т.ч. расходка)</t>
  </si>
  <si>
    <t>БП-00000617</t>
  </si>
  <si>
    <t>Основной блок R10 Comen</t>
  </si>
  <si>
    <t>БП-00000618</t>
  </si>
  <si>
    <t>Одноразовый бактериальный фильтр</t>
  </si>
  <si>
    <t>БП-00000619</t>
  </si>
  <si>
    <t>Одноразовый тепло- и влагообменный фильтр HMEF</t>
  </si>
  <si>
    <t>БП-00000620</t>
  </si>
  <si>
    <t>Одноразовый дыхательный контур: детский, взрослый</t>
  </si>
  <si>
    <t>БП-00000621</t>
  </si>
  <si>
    <t>Многоразовый дыхательный контур: неонатальный, детский, взрослый</t>
  </si>
  <si>
    <t>БП-00000622</t>
  </si>
  <si>
    <t>Одноразовый дыхательный мешок</t>
  </si>
  <si>
    <t>БП-00000623</t>
  </si>
  <si>
    <t>Многоразовый силиконовый дыхательный мешок: неонатальный, взрсолый</t>
  </si>
  <si>
    <t>БП-00000654</t>
  </si>
  <si>
    <t>Одноразовая маска для неинвазивной вентиляции: неонтальная, детская, взрослая</t>
  </si>
  <si>
    <t>БП-00000625</t>
  </si>
  <si>
    <t>Многоразовый силиконовый головной ремень: детский, взрослый</t>
  </si>
  <si>
    <t>БП-00000626</t>
  </si>
  <si>
    <t>Небулайзер</t>
  </si>
  <si>
    <t>БП-00000627</t>
  </si>
  <si>
    <t>Назальная канюля, размеры: малая, средняя, большая</t>
  </si>
  <si>
    <t>БП-00000628</t>
  </si>
  <si>
    <t>Удлинительный кабель Comen SpO2 (12Pin к DB9F, 8ft)</t>
  </si>
  <si>
    <t>БП-00000629</t>
  </si>
  <si>
    <t>Многоразовый аналоговый датчик Comen взросл/ дет/ неон SpO2</t>
  </si>
  <si>
    <t>БП-00000630</t>
  </si>
  <si>
    <t>Модуль капнометрии Masimo основной поток Mainstream EtCO2</t>
  </si>
  <si>
    <t>БП-00000631</t>
  </si>
  <si>
    <t>Одноразовый адаптер дыхательных путей: неонатальный</t>
  </si>
  <si>
    <t>БП-00000632</t>
  </si>
  <si>
    <t>Модуль капнометрии Masimo боковой поток Sidestream EtCO2</t>
  </si>
  <si>
    <t>БП-00000633</t>
  </si>
  <si>
    <t>Тележка для аппарата ИВЛ MC-100</t>
  </si>
  <si>
    <t>БП-00000634</t>
  </si>
  <si>
    <t>Быстрозаменяемая литиевая батарея 6600 мАч</t>
  </si>
  <si>
    <t>БП-00000635</t>
  </si>
  <si>
    <t>Опорный рычаг для дыхательного контура</t>
  </si>
  <si>
    <t>БП-00000636</t>
  </si>
  <si>
    <t>Кронштейн для крепления к машине скорой помощи</t>
  </si>
  <si>
    <t>БП-00000637</t>
  </si>
  <si>
    <t>Сумка</t>
  </si>
  <si>
    <t>БП-00000638</t>
  </si>
  <si>
    <t>Набор держателей для баллона</t>
  </si>
  <si>
    <t>БП-00000639</t>
  </si>
  <si>
    <t>Увлажнитель воздуха детский</t>
  </si>
  <si>
    <t>БП-00000640</t>
  </si>
  <si>
    <t>Одноразовая водяная камера</t>
  </si>
  <si>
    <t>БП-00000641</t>
  </si>
  <si>
    <t>Многоразовая водяная камера</t>
  </si>
  <si>
    <t>БП-00000644</t>
  </si>
  <si>
    <t>Основной блок R10 Nellkor</t>
  </si>
  <si>
    <t>БП-00000642</t>
  </si>
  <si>
    <t>Датчик Nellcor SpO2 Sensor DS-100A (3ft)</t>
  </si>
  <si>
    <t>БП-00000643</t>
  </si>
  <si>
    <t>Датчик Y-образный Nellcor SpO2 Sensor Dura-Y D-YS (3ft)</t>
  </si>
  <si>
    <t>Основной блок R10 M</t>
  </si>
  <si>
    <t>Датчик для взрослых, детей и младенцев Masimo SpO2 PN:4003 RD SET DCI</t>
  </si>
  <si>
    <t>Многоразовый датчик Masimo SpO2 /PN:4054/RD SET Y-I: взрослый, детский, неонатальный</t>
  </si>
  <si>
    <t>Многоразовый датчик для взрослых Masimo SpO2  PN:4050/RD SET DCI: взрослый, детский</t>
  </si>
  <si>
    <t>Многоразовый кабель Masimo PN:4081 RD SET MD14-12</t>
  </si>
  <si>
    <t>БП-00000869</t>
  </si>
  <si>
    <t>БП-00000870</t>
  </si>
  <si>
    <t>БП-00000798</t>
  </si>
  <si>
    <t>БП-00000871</t>
  </si>
  <si>
    <t>БП-00000872</t>
  </si>
  <si>
    <t>сосотоит из:</t>
  </si>
  <si>
    <t>БП-00000645</t>
  </si>
  <si>
    <t>БП-00000646</t>
  </si>
  <si>
    <t>БП-00000647</t>
  </si>
  <si>
    <t>БП-00000648</t>
  </si>
  <si>
    <t>БП-00000649</t>
  </si>
  <si>
    <t>БП-00000650</t>
  </si>
  <si>
    <t>БП-00000651</t>
  </si>
  <si>
    <t>БП-00000652</t>
  </si>
  <si>
    <t>БП-00000653</t>
  </si>
  <si>
    <t>БП-00000655</t>
  </si>
  <si>
    <t>БП-00000656</t>
  </si>
  <si>
    <t>БП-00000657</t>
  </si>
  <si>
    <t>БП-00000659</t>
  </si>
  <si>
    <t>БП-00000703</t>
  </si>
  <si>
    <t>БП-00000661</t>
  </si>
  <si>
    <t>БП-00000662</t>
  </si>
  <si>
    <t>БП-00000663</t>
  </si>
  <si>
    <t>БП-00000708</t>
  </si>
  <si>
    <t>БП-00000665</t>
  </si>
  <si>
    <t>БП-00000666</t>
  </si>
  <si>
    <t>БП-00000667</t>
  </si>
  <si>
    <t>Основной блок R30 Comen</t>
  </si>
  <si>
    <t>Многоразовый увлажнитель JIKE</t>
  </si>
  <si>
    <t>Увлажнитель многоразовый педиатрический</t>
  </si>
  <si>
    <t>Коннектор 3Р и кабель с функцией обогрева VH30100 (для одного нагревательного провода ROHS)</t>
  </si>
  <si>
    <t>Одноразовая водяная камера: дети, взрослые</t>
  </si>
  <si>
    <t>Одноразовый бактериальный фильтр без порта для отбора проб</t>
  </si>
  <si>
    <t>Одноразовый дыхательный контур с нагревательным проводом для младенцев</t>
  </si>
  <si>
    <t>Многоразовый дыхательный контур с нагревательным проводом: взрослый, детский, неонатальный</t>
  </si>
  <si>
    <t>Многоразовый силиконовый дыхательный мешок VADI 800-21001 объем 2л: взрослый, неонатальный</t>
  </si>
  <si>
    <t>Многоразовый силиконовый головной ремень DCA100 5477 размеры: L (взрослая), S (неонтальная/детская)</t>
  </si>
  <si>
    <t xml:space="preserve">Назальная канюля размеры:  S (младенцы), M (дети), L (взрослые) </t>
  </si>
  <si>
    <t>Модуль капнометрии Comen SpO2</t>
  </si>
  <si>
    <t>Многоразовый аналоговый датчик Comen SpO2 ES104-068-01 (DB9F, 3ft): взрослый/детский/неонатальный</t>
  </si>
  <si>
    <t>Модуль капнометрии Comen для основного потока Mainstream EtCO2</t>
  </si>
  <si>
    <t>Держатель кабеля</t>
  </si>
  <si>
    <t>Модуль капнометрии Comen для бокового потока Sidestream EtCO2</t>
  </si>
  <si>
    <t>Линия забора пробы газа детская 2,5 м</t>
  </si>
  <si>
    <t>Литиевая батарея 6700 мАч</t>
  </si>
  <si>
    <t>Корзина в сборе</t>
  </si>
  <si>
    <t xml:space="preserve">Газовый шланг: NIST, IEC </t>
  </si>
  <si>
    <t>Порт HDMI для передачи данных на дисплей</t>
  </si>
  <si>
    <t xml:space="preserve">Основной блок R30 Massimo </t>
  </si>
  <si>
    <t>Многоразовый кабель Masimo RD SET CM12-RD-L</t>
  </si>
  <si>
    <t>Многоразовый датчик Masimo SpO2 PN:4050 RD SET DCI для детей (пальцевый)</t>
  </si>
  <si>
    <t>Многоразовый датчик Masimo SpO2 PN:4054 RD SET Y-I для детей, взрослых и младенцев</t>
  </si>
  <si>
    <t>Многоразовый унивесральный датчик Masimo  для RD SET Y-I</t>
  </si>
  <si>
    <t>Одноразовый датчик для взрослых, детей и младенцев Masimo SpO2 PN:4003 RD SET DCI (пальцевый)</t>
  </si>
  <si>
    <t>БП-00000668</t>
  </si>
  <si>
    <t>БП-00000675</t>
  </si>
  <si>
    <t>БП-00000670</t>
  </si>
  <si>
    <t>БП-00000671</t>
  </si>
  <si>
    <t>БП-00000672</t>
  </si>
  <si>
    <t>БП-00000673</t>
  </si>
  <si>
    <t xml:space="preserve">Основной блок R30 Nellkor </t>
  </si>
  <si>
    <t>Многоразовый датчик SpO2 Sensor DS-100A (3ft)</t>
  </si>
  <si>
    <t>Многоразовый датчик Y-образный SpO2 Sensor Dura-Y D-YS (3ft)</t>
  </si>
  <si>
    <t>БП-00000674</t>
  </si>
  <si>
    <t>БП-00000676</t>
  </si>
  <si>
    <t>БП-00000677</t>
  </si>
  <si>
    <t>Основной блок R80 Comen</t>
  </si>
  <si>
    <t>Вентиляционный комплект для новорожденного</t>
  </si>
  <si>
    <t>Функциональный компелект для новорожденного</t>
  </si>
  <si>
    <t>Одноразовая силиконовая маска, размеры:  XS, S, M, L, XL</t>
  </si>
  <si>
    <t>Одноразовый генератор с назальными масками канюлями</t>
  </si>
  <si>
    <t>Одноразовый головной ремень: XS, S, M, L</t>
  </si>
  <si>
    <t>Одноразовый дыхательный контур: неонатальный, детский, взрослый</t>
  </si>
  <si>
    <t>Многоразовый  неонатальный дыхательный контур с нагревательным проводом</t>
  </si>
  <si>
    <t>Многоразовый  дыхательный контур: для взрослых, для детей</t>
  </si>
  <si>
    <t>Многоразовый  дыхательный контур с нагревательным проводом: для взрослых, для детей</t>
  </si>
  <si>
    <t>Одноразовый фильтр без порта для отбора</t>
  </si>
  <si>
    <t>Одноразовая маска для неинвазивной вентиляции, размеры: S, M, L</t>
  </si>
  <si>
    <t>Многоразовая маска для неинвазивной вентиляции</t>
  </si>
  <si>
    <t>Многоразовый  дыхательный мешок, объем: 1л, 2 л</t>
  </si>
  <si>
    <t>Одноразовый  дыхательный мешок 1 л</t>
  </si>
  <si>
    <t>Увлажнитель JIKE SH330 без дыхательного контура с многоразовой водяной камерой для взрослых</t>
  </si>
  <si>
    <t>Увлажнитель многоразовый неонтальный</t>
  </si>
  <si>
    <t>Коннектор 3Р и кабель с функцией обогрева (для одного нагревательного провода ROHS)</t>
  </si>
  <si>
    <t>Одноразовая водяная камера: для взрослых, для младенцев</t>
  </si>
  <si>
    <t>Датчик SpO2  для взрослых зажимной: взрослые, дети, младенцы</t>
  </si>
  <si>
    <t>Модуль капнометрии Masimo для бокового потока Sidestream EtCO2</t>
  </si>
  <si>
    <t>Линия  для отбора проб для младенцев</t>
  </si>
  <si>
    <t>Удлинитель CO2/AG (12Pin)</t>
  </si>
  <si>
    <t>Модуль капнометрии Masimo для основного потока  Mainstream EtCO2</t>
  </si>
  <si>
    <t>Адаптер  одноразовый:  для младенцев и новорожденных, для взрослых и детей</t>
  </si>
  <si>
    <t>Одноразовая назальная канюля: для взрослых, для детей</t>
  </si>
  <si>
    <t>Модуль капнометрии Comen для бокового потока Sidestream EtCO2:  для детей, для взрослых</t>
  </si>
  <si>
    <t xml:space="preserve">Одноразовый датчик потока </t>
  </si>
  <si>
    <t xml:space="preserve">Многоразовый датчик потока </t>
  </si>
  <si>
    <t xml:space="preserve">Комрессор VS-20 </t>
  </si>
  <si>
    <t>БП-00000678</t>
  </si>
  <si>
    <t>БП-00000679</t>
  </si>
  <si>
    <t>БП-00000680</t>
  </si>
  <si>
    <t>БП-00000681</t>
  </si>
  <si>
    <t>БП-00000682</t>
  </si>
  <si>
    <t>БП-00000683</t>
  </si>
  <si>
    <t>БП-00000684</t>
  </si>
  <si>
    <t>БП-00000685</t>
  </si>
  <si>
    <t>БП-00000686</t>
  </si>
  <si>
    <t>БП-00000687</t>
  </si>
  <si>
    <t>БП-00000688</t>
  </si>
  <si>
    <t>БП-00000689</t>
  </si>
  <si>
    <t>БП-00000690</t>
  </si>
  <si>
    <t>БП-00000691</t>
  </si>
  <si>
    <t>БП-00000692</t>
  </si>
  <si>
    <t>БП-00000693</t>
  </si>
  <si>
    <t>БП-00000694</t>
  </si>
  <si>
    <t>БП-00000695</t>
  </si>
  <si>
    <t>БП-00000696</t>
  </si>
  <si>
    <t>БП-00000697</t>
  </si>
  <si>
    <t>БП-00000698</t>
  </si>
  <si>
    <t>БП-00000699</t>
  </si>
  <si>
    <t>БП-00000700</t>
  </si>
  <si>
    <t>БП-00000701</t>
  </si>
  <si>
    <t>БП-00000702</t>
  </si>
  <si>
    <t>БП-00000704</t>
  </si>
  <si>
    <t>БП-00000706</t>
  </si>
  <si>
    <t>БП-00000710</t>
  </si>
  <si>
    <t>БП-00000711</t>
  </si>
  <si>
    <t>БП-00000712</t>
  </si>
  <si>
    <t>БП-00000716</t>
  </si>
  <si>
    <t>БП-00000717</t>
  </si>
  <si>
    <t>БП-00000718</t>
  </si>
  <si>
    <t>Аппарат ИВЛ R80 Masimo Spo2 стандарт</t>
  </si>
  <si>
    <t>Удлинительный кабель Masimo 12Pin к RD (3м)</t>
  </si>
  <si>
    <t>Многоразовый датчик SpO2 Masimo RD set DCI YI для детей и новорожденных (пальцевый)</t>
  </si>
  <si>
    <t>Аппарат ИВЛ R80 Masimo Spo2 Стандарт ( спец с большой буквы)</t>
  </si>
  <si>
    <t>Многоразовый датчик Masimo  SpO2 /RD к AO231 DCI YI для детей и неворожденных</t>
  </si>
  <si>
    <t>БП-00000720</t>
  </si>
  <si>
    <t>БП-00000719</t>
  </si>
  <si>
    <t>Аппарат ИВЛ R80 Nelkor Spo2 стандарт</t>
  </si>
  <si>
    <t>Датчик SpO2 Nellcor DS100A</t>
  </si>
  <si>
    <t>Кабель Nellcor (12pin /  DB9F)</t>
  </si>
  <si>
    <t>Датчик Y-образный  SpO2 Nellcor (D-YS)</t>
  </si>
  <si>
    <t>БП-00000709</t>
  </si>
  <si>
    <t>БП-00000728</t>
  </si>
  <si>
    <t>БП-00000729</t>
  </si>
  <si>
    <t>БП-00000664</t>
  </si>
  <si>
    <t xml:space="preserve">Основной блок модульного монитра М15 </t>
  </si>
  <si>
    <t xml:space="preserve">Встраиваемый модуль  для ЭКГ с 12 отведениями </t>
  </si>
  <si>
    <t>Многоразовый зажимной коннектор-проводник ЭКГ (неонатальный) (соответствие стандарту IEC)</t>
  </si>
  <si>
    <t xml:space="preserve">Многоразовый интегрированный/съемный ЭКГ кабель с 12-контактным зажимным  разъемом и 12 отведениями </t>
  </si>
  <si>
    <t xml:space="preserve">Одноразовые электроды для взрослых/детей/новорожденных (12 шт/упак) </t>
  </si>
  <si>
    <t>Взрослый многоразовый аналоговый датчик SpO2 с пальцевым зажимом (3 м, 12-контактный) 040-000869-00</t>
  </si>
  <si>
    <t>Удлинительный кабель 12-контактный к DB9F Comen SpO2, 2,5 м</t>
  </si>
  <si>
    <t xml:space="preserve">Трубка НИАД взр/дет/нео (белая) 2M/3М </t>
  </si>
  <si>
    <t xml:space="preserve">Одноразовая нео манжета (3~6см)/(4~8см)/(6~11см)/(7~13см)  </t>
  </si>
  <si>
    <t>Удлинительный кабель ИАД (для встроенного модуля)</t>
  </si>
  <si>
    <t>12-контактный интерфейсный кабель с разъемом</t>
  </si>
  <si>
    <t xml:space="preserve">Комплект одноразовых датчиков давления </t>
  </si>
  <si>
    <t>Встроенный модуль Masimo ISA CO2 с удлинительным кабелем и Nomoline</t>
  </si>
  <si>
    <t xml:space="preserve">Назальная канюля для забора пробы газа, Взр/Нео; двойная/ одиночная 2м, Стандартная/С зубцами CO2  </t>
  </si>
  <si>
    <t xml:space="preserve">Линия забора пробы газа, Взр/Дет/Нео, 3м/2.5м /3м  </t>
  </si>
  <si>
    <t>Набор Nellcor SET (удлинительный кабель 040-000243-00 +взрослый многоразовый датчик SpO2 Nellcor 040</t>
  </si>
  <si>
    <t>Многоразовый оборачиваемый датчик Nellcor SpO2 типа Y (D-YS)</t>
  </si>
  <si>
    <t>Набор Masimo M-LNCS (кабель пациента + многоразовый датчик SpO2 Masimo + модуль Masimo)</t>
  </si>
  <si>
    <t xml:space="preserve">Датчик Masimo SpO2  Type-Y  SpO2 Probe </t>
  </si>
  <si>
    <t>Датчик Masimo SpO2 Взр,Дет,Нeo/Многоцелевые/многоразовые  SpO2 Probe/RD set DCI YI</t>
  </si>
  <si>
    <t>Встраиваемый Модуль 2 канала ИАД с принадлежностямии</t>
  </si>
  <si>
    <t xml:space="preserve">Набор Встроенный модуль Masimo ISA CO2 с удлинительным кабелем и Nomoline Sidestream </t>
  </si>
  <si>
    <t>Дыхательная линия для забора газов, 3м, для взрослых и детей (Sampling line, Adu/Ped, 3m)</t>
  </si>
  <si>
    <t xml:space="preserve">Набор Модуль Mainstream IRMA EtCO2 с аксессуарами Mainstream IRMA EtCO2  </t>
  </si>
  <si>
    <t xml:space="preserve">Набор Модуль EtCO2 Comen Capno Mainstream/Sidestream  с принадлежностями </t>
  </si>
  <si>
    <t xml:space="preserve">Назальная канюля, Взросл/Дет, 2.5m CO2   </t>
  </si>
  <si>
    <t>Модуль мультигаз/АГ(AG) Masimo ISA AX+ Sidestream (Module box + Sampling line)</t>
  </si>
  <si>
    <t>Модуль мультигаз/АГ Masimo ISA OR + Sidestream (Module box + Sampling line)</t>
  </si>
  <si>
    <t xml:space="preserve">Модуль мультигаз/АГ  Comen mAG-SI Mainstream набор </t>
  </si>
  <si>
    <t>Одноразовый адаптер к дыхательному контуру  - неон.</t>
  </si>
  <si>
    <t>Модуль мультигаз/АГ Masimo IRMA AX+ Mainstream в наборе</t>
  </si>
  <si>
    <t>Адаптер для одного пациента Masimo mainstream Neo</t>
  </si>
  <si>
    <t xml:space="preserve">Набор Модуль пробуждения при апноэ и концентрации О2 </t>
  </si>
  <si>
    <t xml:space="preserve">Датчик пробуждения для новорожденных </t>
  </si>
  <si>
    <t>Датчик концентрации кислорода /CITY/ MOX-3</t>
  </si>
  <si>
    <t xml:space="preserve">Модуль Masimo rainbow Spo2 набор  </t>
  </si>
  <si>
    <t>Модуль оценки сердечного выброса (Cardiac Output — C.O.)</t>
  </si>
  <si>
    <t>Модуль ICG</t>
  </si>
  <si>
    <t xml:space="preserve">Набор Модуль Covidien БИС с аксессуарами </t>
  </si>
  <si>
    <t>Электроды BIS, артикул: 186-0106т</t>
  </si>
  <si>
    <t>Датчик многоразовый NMT (для нейромышечной трансмиссии), 10 контактный</t>
  </si>
  <si>
    <t xml:space="preserve">Набор Модуль XAVANT НМП с аксессуарами </t>
  </si>
  <si>
    <t>Модуль Masimo O3 Regional oximetry с аксессуарами</t>
  </si>
  <si>
    <t xml:space="preserve">Датчик Regional изм О2 взросл/дет , 20/упаковка </t>
  </si>
  <si>
    <t>Модуль Comen RM (C-36)</t>
  </si>
  <si>
    <t xml:space="preserve">Модуль набор KLink </t>
  </si>
  <si>
    <t>Модуль KLink ID - V &amp; NV series (Ventilator)</t>
  </si>
  <si>
    <t>Модуль KLink ID  - MX8900 (Infusion workstation)</t>
  </si>
  <si>
    <t>Модуль KLink ID - ME900&amp;M800 (Infusion system)</t>
  </si>
  <si>
    <t>Модуль KLink ID - A &amp; AX series (Anesthesia machine) - European Standard Power Adapter</t>
  </si>
  <si>
    <t>Принтер</t>
  </si>
  <si>
    <t>Бумага для печати 50мм*20м</t>
  </si>
  <si>
    <t xml:space="preserve">Набор Крепление для монитора с фиксированной высотой/ регулируемый </t>
  </si>
  <si>
    <t>Тележка для монитора</t>
  </si>
  <si>
    <t>Настенная корзина</t>
  </si>
  <si>
    <t>БП-00000730</t>
  </si>
  <si>
    <t>БП-00000731</t>
  </si>
  <si>
    <t>БП-00000732</t>
  </si>
  <si>
    <t>БП-00000733</t>
  </si>
  <si>
    <t>БП-00000734</t>
  </si>
  <si>
    <t>БП-00000735</t>
  </si>
  <si>
    <t>БП-00000736</t>
  </si>
  <si>
    <t>БП-00000737</t>
  </si>
  <si>
    <t>БП-00000738</t>
  </si>
  <si>
    <t>БП-00000739</t>
  </si>
  <si>
    <t>БП-00000740</t>
  </si>
  <si>
    <t>БП-00000741</t>
  </si>
  <si>
    <t>БП-00000742</t>
  </si>
  <si>
    <t>БП-00000743</t>
  </si>
  <si>
    <t>БП-00000744</t>
  </si>
  <si>
    <t>БП-00000745</t>
  </si>
  <si>
    <t>БП-00000746</t>
  </si>
  <si>
    <t>БП-00000747</t>
  </si>
  <si>
    <t>БП-00000748</t>
  </si>
  <si>
    <t>БП-00000749</t>
  </si>
  <si>
    <t>БП-00000750</t>
  </si>
  <si>
    <t>БП-00000751</t>
  </si>
  <si>
    <t>БП-00000752</t>
  </si>
  <si>
    <t>БП-00000753</t>
  </si>
  <si>
    <t>БП-00000754</t>
  </si>
  <si>
    <t>БП-00000755</t>
  </si>
  <si>
    <t>БП-00000756</t>
  </si>
  <si>
    <t>БП-00000757</t>
  </si>
  <si>
    <t>БП-00000758</t>
  </si>
  <si>
    <t>БП-00000759</t>
  </si>
  <si>
    <t>БП-00000760</t>
  </si>
  <si>
    <t>БП-00000761</t>
  </si>
  <si>
    <t>БП-00000762</t>
  </si>
  <si>
    <t>БП-00000763</t>
  </si>
  <si>
    <t>БП-00000764</t>
  </si>
  <si>
    <t>БП-00000765</t>
  </si>
  <si>
    <t>БП-00000766</t>
  </si>
  <si>
    <t>БП-00000767</t>
  </si>
  <si>
    <t>БП-00000768</t>
  </si>
  <si>
    <t>БП-00000769</t>
  </si>
  <si>
    <t>БП-00000770</t>
  </si>
  <si>
    <t>БП-00000771</t>
  </si>
  <si>
    <t>БП-00000772</t>
  </si>
  <si>
    <t>БП-00000773</t>
  </si>
  <si>
    <t>БП-00000774</t>
  </si>
  <si>
    <t>БП-00000775</t>
  </si>
  <si>
    <t>БП-00000776</t>
  </si>
  <si>
    <t>БП-00000777</t>
  </si>
  <si>
    <t>БП-00000778</t>
  </si>
  <si>
    <t>БП-00000779</t>
  </si>
  <si>
    <t>БП-00000780</t>
  </si>
  <si>
    <t>БП-00000781</t>
  </si>
  <si>
    <t>БП-00000782</t>
  </si>
  <si>
    <t>БП-00000783</t>
  </si>
  <si>
    <t>БП-00000784</t>
  </si>
  <si>
    <t>БП-00000785</t>
  </si>
  <si>
    <t>БП-00000786</t>
  </si>
  <si>
    <t>БП-00000787</t>
  </si>
  <si>
    <t>БП-00000788</t>
  </si>
  <si>
    <t>БП-00000789</t>
  </si>
  <si>
    <t>БП-00000790</t>
  </si>
  <si>
    <t>БП-00000791</t>
  </si>
  <si>
    <t>БП-00000792</t>
  </si>
  <si>
    <t>БП-00000793</t>
  </si>
  <si>
    <t>БП-00000794</t>
  </si>
  <si>
    <t xml:space="preserve">Основной блок Massimo M15 </t>
  </si>
  <si>
    <t>Многоразовый датчик Masimo SpO2 /PN:4050/RD SET DCI: взрослый, детский</t>
  </si>
  <si>
    <t>Одноразовый датчик Masimo SpO2 PN:4003/RD SET DCI: неонатальный, взрослый</t>
  </si>
  <si>
    <t>Одноразовый датчик Masimo SpO2/PN:4000/RD SET DCI взрослый</t>
  </si>
  <si>
    <t>Одноразовый датчик Masimo SpO2 /PN:4004/RD SET неонатальный</t>
  </si>
  <si>
    <t>БП-00000795</t>
  </si>
  <si>
    <t>БП-00000796</t>
  </si>
  <si>
    <t>БП-00000797</t>
  </si>
  <si>
    <t>БП-00000799</t>
  </si>
  <si>
    <t>БП-00000800</t>
  </si>
  <si>
    <t>Основной блок M15 Nellkor</t>
  </si>
  <si>
    <t>Многоразовый  Y-образный датчик SpO2 Nellcor (D-YS)</t>
  </si>
  <si>
    <t xml:space="preserve">Набор Модуль НИАД и аксессуары Suntech </t>
  </si>
  <si>
    <t>Одноразовая манжета нео, размеры: 1# (3~6см), 2# (4~8см), 3# (6~11см), 4# (7~13см)</t>
  </si>
  <si>
    <t>БП-00000801</t>
  </si>
  <si>
    <t>БП-00000802</t>
  </si>
  <si>
    <t>БП-00000803</t>
  </si>
  <si>
    <t>БП-00000804</t>
  </si>
  <si>
    <t>Основной блок М18</t>
  </si>
  <si>
    <t>Набор Z03</t>
  </si>
  <si>
    <t>БП-00000805</t>
  </si>
  <si>
    <t>БП-00000806</t>
  </si>
  <si>
    <t>Основной блок АХ600</t>
  </si>
  <si>
    <t>Регулятор с фитингом и манометром содержимого баллона (O2, N2O Cylinder Yoke)</t>
  </si>
  <si>
    <t xml:space="preserve">Модуль капнометрии Модуль Masimo Mainstream EtCO2 </t>
  </si>
  <si>
    <t xml:space="preserve">Модуль капнометрии Модуль Masimo Sidestream Capno EtCO2 </t>
  </si>
  <si>
    <t>Коннектор CPC APMC/PMC2201</t>
  </si>
  <si>
    <t>Мягкая трубка CO2</t>
  </si>
  <si>
    <t xml:space="preserve">Модуль капнометрии Comen Sidestream EtCO2  </t>
  </si>
  <si>
    <t>Большой адаптор, ET &gt; 4.0 mm /1103414-Standard</t>
  </si>
  <si>
    <t>Модуль Masimo Sidestream Multi-gas (ISA AX+) и (ISA OR+)</t>
  </si>
  <si>
    <t xml:space="preserve">Модуль Covidien BIS </t>
  </si>
  <si>
    <t>Изофлуран/Vapor2000/Drager-Fill</t>
  </si>
  <si>
    <t>Севофлуран/Vapor2000/Drager-Fill</t>
  </si>
  <si>
    <t>Севофлуран/Ibis200/Pour-fill</t>
  </si>
  <si>
    <t>Изофлуран/Ibis200/Pour-fill</t>
  </si>
  <si>
    <t>Галотан/Ibis200 /Pour-fill</t>
  </si>
  <si>
    <t>Многоразовый набор дыхательных контуров</t>
  </si>
  <si>
    <t>Разъем типа L/ADU</t>
  </si>
  <si>
    <t>Разъем тип Y/ПЭД/ с портом для отбора проб</t>
  </si>
  <si>
    <t>Коннектор типа L, PED/G-31Разъем типа L/PED</t>
  </si>
  <si>
    <t>Коннектор Y-образный, L-образный</t>
  </si>
  <si>
    <t>Ручной мешок/0.5/1л/2л/3л/без латекса</t>
  </si>
  <si>
    <t>Многоразовая силиконовая маска для новорожденных, для детей, для взрослых</t>
  </si>
  <si>
    <t>Многоразовая силиконовая маска</t>
  </si>
  <si>
    <t>Надувная анестезиологическая маска для новорожденных, для детей, для взрослых</t>
  </si>
  <si>
    <t>Надувная анестезиологическая маска</t>
  </si>
  <si>
    <t>Адаптер для газоотводящего сопла /A01/POM/белый/ L=38MM</t>
  </si>
  <si>
    <t xml:space="preserve">Набор крепления для монитора пациента (используется с монитором пациента серии K и другим монитором </t>
  </si>
  <si>
    <t>Комплект поддержки монитора пациента (используется только с монитором пациента C90)</t>
  </si>
  <si>
    <t>БП-00000807</t>
  </si>
  <si>
    <t>БП-00000808</t>
  </si>
  <si>
    <t>БП-00000809</t>
  </si>
  <si>
    <t>БП-00000810</t>
  </si>
  <si>
    <t>БП-00000811</t>
  </si>
  <si>
    <t>БП-00000812</t>
  </si>
  <si>
    <t>БП-00000813</t>
  </si>
  <si>
    <t>БП-00000814</t>
  </si>
  <si>
    <t>БП-00000815</t>
  </si>
  <si>
    <t>БП-00000816</t>
  </si>
  <si>
    <t>БП-00000817</t>
  </si>
  <si>
    <t>БП-00000818</t>
  </si>
  <si>
    <t>БП-00000819</t>
  </si>
  <si>
    <t>БП-00000820</t>
  </si>
  <si>
    <t>БП-00000821</t>
  </si>
  <si>
    <t>БП-00000822</t>
  </si>
  <si>
    <t>БП-00000823</t>
  </si>
  <si>
    <t>БП-00000841</t>
  </si>
  <si>
    <t>БП-00000825</t>
  </si>
  <si>
    <t>БП-00000826</t>
  </si>
  <si>
    <t>БП-00000827</t>
  </si>
  <si>
    <t>БП-00000828</t>
  </si>
  <si>
    <t>БП-00000829</t>
  </si>
  <si>
    <t>БП-00000830</t>
  </si>
  <si>
    <t>БП-00000831</t>
  </si>
  <si>
    <t>БП-00000832</t>
  </si>
  <si>
    <t>БП-00000833</t>
  </si>
  <si>
    <t>БП-00000834</t>
  </si>
  <si>
    <t>Основной блок АХ800</t>
  </si>
  <si>
    <t>Регулятор с фитингом и манометром содержимого баллона (O2, Air Cylinder Yoke)</t>
  </si>
  <si>
    <t>Модуль Masimo Sidestream Capno EtCO2</t>
  </si>
  <si>
    <t>Модуль Sidestream Capno EtCO2</t>
  </si>
  <si>
    <t xml:space="preserve">Модуль Covidien BIS с аксессуарами </t>
  </si>
  <si>
    <t>Разъем типа L/ADU/G-311025</t>
  </si>
  <si>
    <t>БП-00000835</t>
  </si>
  <si>
    <t>БП-00000836</t>
  </si>
  <si>
    <t>БП-00000837</t>
  </si>
  <si>
    <t>БП-00000838</t>
  </si>
  <si>
    <t>БП-00000839</t>
  </si>
  <si>
    <t>БП-00000840</t>
  </si>
  <si>
    <t>Основной блок АХ900</t>
  </si>
  <si>
    <t xml:space="preserve">Модуль Masimo Mainstream EtCO2 с аксессуарами </t>
  </si>
  <si>
    <t xml:space="preserve">Модуль Sidestream Capno EtCO2  COMEN </t>
  </si>
  <si>
    <t>Большой адаптер, ET &gt; 4.0 mm /1103414-Standard</t>
  </si>
  <si>
    <t>Ручной мешок/0.5/1л/2л/3л/без латекса, Vincent</t>
  </si>
  <si>
    <t>Надувная анестезиологическая маска 1#/2#/3#/4#/5#</t>
  </si>
  <si>
    <t>Надувная анестезиологическая маска 0#/1#/2#,3#,4#,5#</t>
  </si>
  <si>
    <t>БП-00000842</t>
  </si>
  <si>
    <t>БП-00000843</t>
  </si>
  <si>
    <t>БП-00000844</t>
  </si>
  <si>
    <t>БП-00000669</t>
  </si>
  <si>
    <t>БП-00000660</t>
  </si>
  <si>
    <t>БП-00000845</t>
  </si>
  <si>
    <t>БП-00000846</t>
  </si>
  <si>
    <t>Транспортный монитор пациента М1  COMEN Spo2 с принадлежностями,</t>
  </si>
  <si>
    <t>Док-станция (c VGA-портом)</t>
  </si>
  <si>
    <t>Модуль Rack (Стойка для подключения модулей)</t>
  </si>
  <si>
    <t>Комплект одноразовых электродов  для взрослых/ детей/ новорожденных (12 шт/упак)</t>
  </si>
  <si>
    <t>Многоразовый аналоговый датчик SpO2 Comen  для взрослых с пальцевым зажимом (10ft, 12pin)</t>
  </si>
  <si>
    <t>Многоразовый аналоговый обераичваемый датчик SpO2 (DB9F), Врз/Нео/Дет, 90 см /ES104-068-01, Comen</t>
  </si>
  <si>
    <t>Трубка НИАД взр/дет/нео (белая) 3M</t>
  </si>
  <si>
    <t xml:space="preserve">Многоразовая манжета для взрослых(стандартная/ малая /большая/ большая с длинным шлангом/ </t>
  </si>
  <si>
    <t>Одноразовая манжета  неон: (3~6см)/(4~8см)/(6~11см)/(7~13см)</t>
  </si>
  <si>
    <t>Встраиваемый модуль Masimo ISA CO2 с удлинительным кабелем и Nomoline</t>
  </si>
  <si>
    <t>Линия забора пробы газа, нeoнатальная, длина 2м</t>
  </si>
  <si>
    <t>Датчик пробуждения при апноэ для новорожденного</t>
  </si>
  <si>
    <t>Кабель концентрации кислорода</t>
  </si>
  <si>
    <t>Сумка для монитора пациента К1</t>
  </si>
  <si>
    <t>БП-00000847</t>
  </si>
  <si>
    <t>БП-00000848</t>
  </si>
  <si>
    <t>БП-00000849</t>
  </si>
  <si>
    <t>БП-00000850</t>
  </si>
  <si>
    <t>БП-00000851</t>
  </si>
  <si>
    <t>БП-00000852</t>
  </si>
  <si>
    <t>БП-00000853</t>
  </si>
  <si>
    <t>БП-00000854</t>
  </si>
  <si>
    <t>БП-00000855</t>
  </si>
  <si>
    <t>БП-00000856</t>
  </si>
  <si>
    <t>БП-00000857</t>
  </si>
  <si>
    <t>БП-00000858</t>
  </si>
  <si>
    <t>БП-00000859</t>
  </si>
  <si>
    <t>БП-00000860</t>
  </si>
  <si>
    <t>БП-00000861</t>
  </si>
  <si>
    <t>БП-00000862</t>
  </si>
  <si>
    <t>Основной блок М1 Nellkor</t>
  </si>
  <si>
    <t>Многоразовый  Y-образный датчик Nellcor (D-YS)</t>
  </si>
  <si>
    <t>Встраиваемый Модуль НИАД</t>
  </si>
  <si>
    <t>Одноразовая манжета неонатальная (3~6см)/(4~8см)/(6~11см) /(7~13см) 12шт</t>
  </si>
  <si>
    <t>БП-00000863</t>
  </si>
  <si>
    <t>БП-00000864</t>
  </si>
  <si>
    <t>БП-00000865</t>
  </si>
  <si>
    <t>БП-00000866</t>
  </si>
  <si>
    <t>Основной блок M1 M</t>
  </si>
  <si>
    <t>БП-00000867</t>
  </si>
  <si>
    <t>БП-00000868</t>
  </si>
  <si>
    <t>Многоразовый  12-контактный  ЭКГ кабель с зажимным коннектором (встраиваемый/ съемный),  3 отведениями и защитой  от дефибрилляции (соответствие стандарту IEC)</t>
  </si>
  <si>
    <t>Многоразовый  интегрированный/ съемный 12- контактный ЭКГ кабель с 5 отведениями 7 с зажимным коннектором и защитой от дефибрилляции (соответствие стандарту IEC)</t>
  </si>
  <si>
    <t>Многоразовая манжета для взрослых(стандартная/ малая /большая/ большая с длинным шлангом/ детская/ бедренная</t>
  </si>
  <si>
    <t>Датчик для накожной температуры ректальный/эзофагеальный, взр/дет/ неонатальный, 2-контактный, (10 кОм)</t>
  </si>
  <si>
    <t>Модуль Comen Capno Sidestream EtCO2  Module with accessories (filter+dehumidification tube+sampling/line/canula)</t>
  </si>
  <si>
    <t>Назальная канюля для забора пробы газа + O2, для взрослых/детей/новорожденных, 2м, AG, высокая влажность</t>
  </si>
  <si>
    <t>Датчик Masimo RD rainbow  многоразовый/одноразовый ; 4067  (SpCO, SpO2, SpMet, PVI, RRp), для взрослых/детей/новорожденных</t>
  </si>
  <si>
    <t>Датчик Masimo RD rainbow одноразовыв 4029 (SpHb, SpO2, SpMet, SpOC, PVI, RRp) для взросл/детей/новорожденных</t>
  </si>
  <si>
    <t>Модуль NMT (для нейромышечной трансмиссии) с аксессуарами</t>
  </si>
  <si>
    <t>Многоразовый 12Pin 12 отведений клип коннектор ЭКГ кабель и провод (интегративный/ съемный) с защитой от разряда дефибриллятора (IEC)</t>
  </si>
  <si>
    <t>Назальная канюля для забора пробы газа CO2 для взрослых/детей/младенцев, длина 2м (высокая влажность)</t>
  </si>
  <si>
    <t>Датчик Masimo SpO2 для взрослых, детей и младенцев /PN:4050/RD SET DCI/для пальца или ноги/Многоразовый</t>
  </si>
  <si>
    <t>Маркировать нельзя, числится как товар 41.01</t>
  </si>
  <si>
    <t>товар</t>
  </si>
  <si>
    <t>Cablexpert Кабель питания сист.блок-монитор PC-189 1.8м C13-C14 6А черный с заземлением</t>
  </si>
  <si>
    <t>БП-00000724</t>
  </si>
  <si>
    <t>Cablexpert Кабель питания сист.блок-монитор PC-189-1-3M 3м C13-C14 3x1кв.мм. черный</t>
  </si>
  <si>
    <t>БП-00000723</t>
  </si>
  <si>
    <t>Cactus Доска пробковаяCS-CBD-90X120 пробковая коричневый 90x120см алюминиевая рама пробка/алюминий 1</t>
  </si>
  <si>
    <t>БП-00000722</t>
  </si>
  <si>
    <t xml:space="preserve">Анализатор калибровочный Citrex H4 с поверкой </t>
  </si>
  <si>
    <t>БП-00000140</t>
  </si>
  <si>
    <t>Баллон сталь Vitkovice 5 л</t>
  </si>
  <si>
    <t>БП-00000567</t>
  </si>
  <si>
    <t>Вентиль E25 din 6 ВБМ</t>
  </si>
  <si>
    <t>БП-00000568</t>
  </si>
  <si>
    <t>ВОЛГА ПОЛИМЕР Уголок защитный пластиковый 90 градусов, 500 шт, Т13061</t>
  </si>
  <si>
    <t>БП-00000727</t>
  </si>
  <si>
    <t>Выходной конический коннектор AСGO для наркозного аппарата</t>
  </si>
  <si>
    <t>БП-00000713</t>
  </si>
  <si>
    <t>Газовая смесь ГСО ПГС 10700-2015: CO2(10%) O2(ост.) 1 разряд Баллон 5л Vitkovice вентиль DIN6 CO2: П</t>
  </si>
  <si>
    <t>БП-00000566</t>
  </si>
  <si>
    <t xml:space="preserve">Газовая смесь ГСО ПГС 10700-2015: CO2(2,5%) O2(ост.) 1 разряд Баллон 5л Vitkovice вентиль DIN6 CO2: </t>
  </si>
  <si>
    <t>БП-00000564</t>
  </si>
  <si>
    <t>Газовая смесь ГСО ПГС 10700-2015: CO2(5%) O2(ост.) 1 разряд Баллон 5л Vitkovice вентиль DIN6 CO2: ПД</t>
  </si>
  <si>
    <t>БП-00000565</t>
  </si>
  <si>
    <t>Дело Техники Набор напильников №2 200 мм. 5 шт. 253725</t>
  </si>
  <si>
    <t>БП-00000721</t>
  </si>
  <si>
    <t>Заглушка 1/2 (DIN 6)</t>
  </si>
  <si>
    <t>БП-00000569</t>
  </si>
  <si>
    <t>Комплект Переходника Gas analyzer Fluke VT650, Mindray USB Converter</t>
  </si>
  <si>
    <t>БП-00000595</t>
  </si>
  <si>
    <t>СПЕЦ Подставка П-15 красная напольная 195х195х380мм ОП-1-6, ОУ1-2, до 8кг ОГН-П15К</t>
  </si>
  <si>
    <t>БП-00000873</t>
  </si>
  <si>
    <t>БП-00000892</t>
  </si>
  <si>
    <t>БП-00000893</t>
  </si>
  <si>
    <t xml:space="preserve">Ярпожинвест Огнетушитель ОП-4 з АВСЕ 01-00003836 </t>
  </si>
  <si>
    <t>БП-00000726</t>
  </si>
  <si>
    <t>Ярпожинвест Огнетушитель углекислотный ОУ-3 ВСЕ 00-00003833</t>
  </si>
  <si>
    <t>БП-00000725</t>
  </si>
  <si>
    <t>Увлажнитель дыхательных смесей ТЕВЛАР-"УОМЗ" по АМНК.941629.001ТУ (ТУ 32.50.21-121-07539541-2018), в  000</t>
  </si>
  <si>
    <t>Увлажнитель дыхательных смесей ТЕВЛАР-"УОМЗ" по АМНК.941629.001ТУ (ТУ 32.50.21-121-07539541-2018), в 001</t>
  </si>
  <si>
    <t>На испытаниях</t>
  </si>
  <si>
    <t>Тип компонента</t>
  </si>
  <si>
    <t>Артикул</t>
  </si>
  <si>
    <t>Ревизия</t>
  </si>
  <si>
    <t>Дата добавления (изменения)</t>
  </si>
  <si>
    <t>Передняя панель дисплея в сборе</t>
  </si>
  <si>
    <t>Задняя панель дисплея в сборе</t>
  </si>
  <si>
    <t>Задняя крышка корпуса в сборе</t>
  </si>
  <si>
    <t>Крышка аккумулятора</t>
  </si>
  <si>
    <t>Батарея</t>
  </si>
  <si>
    <t>Основной блок</t>
  </si>
  <si>
    <t>Верхняя крышка в сборе</t>
  </si>
  <si>
    <t>Блок фильтрации HEPA в сборе</t>
  </si>
  <si>
    <t>Плата мониторинга и управления</t>
  </si>
  <si>
    <t>Корпус с дисплеем</t>
  </si>
  <si>
    <t>Крышка верхняя</t>
  </si>
  <si>
    <t>Держатель легкого</t>
  </si>
  <si>
    <t>Контур дыхательный</t>
  </si>
  <si>
    <t>Диафрагма</t>
  </si>
  <si>
    <t>Крышка</t>
  </si>
  <si>
    <t>Бак абсорционный</t>
  </si>
  <si>
    <t>Монометр</t>
  </si>
  <si>
    <t>Датчик потока вдоха</t>
  </si>
  <si>
    <t>Датчик потока выдоха</t>
  </si>
  <si>
    <t>Блок переходника контура</t>
  </si>
  <si>
    <t>14.1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</si>
  <si>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</si>
  <si>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</si>
  <si>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</si>
  <si>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</si>
  <si>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</si>
  <si>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</si>
  <si>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</si>
  <si>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</si>
  <si>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</si>
  <si>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</si>
  <si>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</si>
  <si>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</si>
  <si>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</si>
  <si>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</si>
  <si>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</si>
  <si>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</si>
  <si>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</si>
  <si>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</si>
  <si>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</si>
  <si>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</si>
  <si>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</si>
  <si>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</si>
  <si>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6.1.10</t>
  </si>
  <si>
    <t>6.1.11</t>
  </si>
  <si>
    <t>6.1.12</t>
  </si>
  <si>
    <t>6.1.13</t>
  </si>
  <si>
    <t>6.14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</si>
  <si>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</si>
  <si>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</si>
  <si>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</si>
  <si>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</si>
  <si>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</si>
  <si>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</si>
  <si>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</si>
  <si>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</si>
  <si>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</si>
  <si>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6.24</t>
  </si>
  <si>
    <t>6.25</t>
  </si>
  <si>
    <t>6.26</t>
  </si>
  <si>
    <t>6.27</t>
  </si>
  <si>
    <t>6.28</t>
  </si>
  <si>
    <t>6.29</t>
  </si>
  <si>
    <t>6.30</t>
  </si>
  <si>
    <t>6.31</t>
  </si>
  <si>
    <t>6.32</t>
  </si>
  <si>
    <t>6.33</t>
  </si>
  <si>
    <t>6.34</t>
  </si>
  <si>
    <t>6.35</t>
  </si>
  <si>
    <t>6.36</t>
  </si>
  <si>
    <t>14.1.1</t>
  </si>
  <si>
    <t>14.1.2</t>
  </si>
  <si>
    <t>14.1.3</t>
  </si>
  <si>
    <t>14.2.1</t>
  </si>
  <si>
    <t>14.2.2</t>
  </si>
  <si>
    <t>14.2.3</t>
  </si>
  <si>
    <t>14.2.4</t>
  </si>
  <si>
    <t>14.2.5</t>
  </si>
  <si>
    <t>14.2.6</t>
  </si>
  <si>
    <t>14.2.7</t>
  </si>
  <si>
    <t>14.2.8</t>
  </si>
  <si>
    <t>14.2.9</t>
  </si>
  <si>
    <t>14.3.1</t>
  </si>
  <si>
    <t>14.3.2</t>
  </si>
  <si>
    <t>14.3.3</t>
  </si>
  <si>
    <t>14.3.4</t>
  </si>
  <si>
    <t>14.3.5</t>
  </si>
  <si>
    <t>14.3.6</t>
  </si>
  <si>
    <t>14.3.7</t>
  </si>
  <si>
    <t>14.3.8</t>
  </si>
  <si>
    <t>14.3.9</t>
  </si>
  <si>
    <t>14.3.10</t>
  </si>
  <si>
    <t>14.3.11</t>
  </si>
  <si>
    <t>14.3.12</t>
  </si>
  <si>
    <t>14.3.13</t>
  </si>
  <si>
    <t>14.3.14</t>
  </si>
  <si>
    <t>Кнопка подачи кислорода</t>
  </si>
  <si>
    <t>Модуль ACGO</t>
  </si>
  <si>
    <t>Узел воздушного блока</t>
  </si>
  <si>
    <t>Редуктор давления F</t>
  </si>
  <si>
    <t>Редуктор давления C</t>
  </si>
  <si>
    <t>Редуктор давления D</t>
  </si>
  <si>
    <t>Глушитель</t>
  </si>
  <si>
    <t>Блок AGSS</t>
  </si>
  <si>
    <t>Модуль подключения O2</t>
  </si>
  <si>
    <t>Модуль подключения AIR</t>
  </si>
  <si>
    <t>Модуль подключения N2O</t>
  </si>
  <si>
    <t>Узел треходового клапана</t>
  </si>
  <si>
    <t>Узел кронштейна испарителя</t>
  </si>
  <si>
    <t>Кронштейн монитора</t>
  </si>
  <si>
    <t>Узел расходомера подачи кислорода</t>
  </si>
  <si>
    <t>Узел расходомера многокональный</t>
  </si>
  <si>
    <t>Модуль включения</t>
  </si>
  <si>
    <t>14.3.15</t>
  </si>
  <si>
    <t>14.3.16</t>
  </si>
  <si>
    <t>14.3.17</t>
  </si>
  <si>
    <t>14.3.18</t>
  </si>
  <si>
    <t>14.3.19</t>
  </si>
  <si>
    <t>14.3.20</t>
  </si>
  <si>
    <t>14.3.21</t>
  </si>
  <si>
    <t>Монометр 10х100 bar</t>
  </si>
  <si>
    <t>Монометр 250x100 bar</t>
  </si>
  <si>
    <t>Узел стакана отрицательного давления</t>
  </si>
  <si>
    <t>Узел впускного клапана</t>
  </si>
  <si>
    <t>Датчик расхода</t>
  </si>
  <si>
    <t>14.3.22</t>
  </si>
  <si>
    <t>14.4.1</t>
  </si>
  <si>
    <t>Отсек для подключения модулей</t>
  </si>
  <si>
    <t>Плата мониторинга</t>
  </si>
  <si>
    <t>АКБ с кронштейном</t>
  </si>
  <si>
    <t>Плата интерфейсов</t>
  </si>
  <si>
    <t>Плата датчика кислорода</t>
  </si>
  <si>
    <t>14.4.2</t>
  </si>
  <si>
    <t>14.4.3</t>
  </si>
  <si>
    <t>14.4.4</t>
  </si>
  <si>
    <t>14.4.5</t>
  </si>
  <si>
    <t>14.4.6</t>
  </si>
  <si>
    <t>14.4.8</t>
  </si>
  <si>
    <t>SkyNet SNP-G165-M</t>
  </si>
  <si>
    <t>14.3.25</t>
  </si>
  <si>
    <t>14.3.26</t>
  </si>
  <si>
    <t>Сборка верхних демпферов</t>
  </si>
  <si>
    <t>Сборка кронштейна опоры баллонов</t>
  </si>
  <si>
    <t>15.1</t>
  </si>
  <si>
    <t>15.1.1</t>
  </si>
  <si>
    <t>Плата питания DC-DC</t>
  </si>
  <si>
    <t>Взрослый/детский/неонатальный многоразовый аналоговый датчик SpO2 с пальцевым/ оборачиваемым зажимом (DB9F), 90 см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</si>
  <si>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</si>
  <si>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</si>
  <si>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</si>
  <si>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</si>
  <si>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</si>
  <si>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</si>
  <si>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</si>
  <si>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</si>
  <si>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</si>
  <si>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</si>
  <si>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</si>
  <si>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</si>
  <si>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</si>
  <si>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</si>
  <si>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</si>
  <si>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</si>
  <si>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</si>
  <si>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</si>
  <si>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</si>
  <si>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</si>
  <si>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</si>
  <si>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</si>
  <si>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</si>
  <si>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</si>
  <si>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</si>
  <si>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</si>
  <si>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</si>
  <si>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</si>
  <si>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</si>
  <si>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</si>
  <si>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</si>
  <si>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</si>
  <si>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</si>
  <si>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</si>
  <si>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</si>
  <si>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</si>
  <si>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</si>
  <si>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</si>
  <si>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</si>
  <si>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</si>
  <si>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</si>
  <si>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</si>
  <si>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</si>
  <si>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3.1.14</t>
  </si>
  <si>
    <t>Клапанные узeл выдоха</t>
  </si>
  <si>
    <t>Клапанные узел вдоха</t>
  </si>
  <si>
    <t>Шасси</t>
  </si>
  <si>
    <t>Кулер в сборе</t>
  </si>
  <si>
    <t>Аккумуляторная батарея</t>
  </si>
  <si>
    <t>Датчик кислорода</t>
  </si>
  <si>
    <t>Клапан выдоха</t>
  </si>
  <si>
    <t>Комплект заглушек для винтов</t>
  </si>
  <si>
    <t>Крышка задняя защитная</t>
  </si>
  <si>
    <t>Крышка лицевая с дисплеем</t>
  </si>
  <si>
    <t>Стенка боковая левая</t>
  </si>
  <si>
    <t>Стенка задняя</t>
  </si>
  <si>
    <t>Шина с втулкой</t>
  </si>
  <si>
    <t>Шпилька с креплением (комплект 4 шт.)</t>
  </si>
  <si>
    <t>Кабель питания</t>
  </si>
  <si>
    <t>1.1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</si>
  <si>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</si>
  <si>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</si>
  <si>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</si>
  <si>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</si>
  <si>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</si>
  <si>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</si>
  <si>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</si>
  <si>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</si>
  <si>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</si>
  <si>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</si>
  <si>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</si>
  <si>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</si>
  <si>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</si>
  <si>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</si>
  <si>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</si>
  <si>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</si>
  <si>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</si>
  <si>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</si>
  <si>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</si>
  <si>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</si>
  <si>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</si>
  <si>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</si>
  <si>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</si>
  <si>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</si>
  <si>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</si>
  <si>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1.1.26</t>
  </si>
  <si>
    <t>1.1.27</t>
  </si>
  <si>
    <t>1.1.28</t>
  </si>
  <si>
    <t>1.1.29</t>
  </si>
  <si>
    <t>1.1.30</t>
  </si>
  <si>
    <t>1.1.31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</si>
  <si>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</si>
  <si>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</si>
  <si>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</si>
  <si>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</si>
  <si>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</si>
  <si>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</si>
  <si>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</si>
  <si>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</si>
  <si>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</si>
  <si>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</si>
  <si>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</si>
  <si>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</si>
  <si>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</si>
  <si>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</si>
  <si>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</si>
  <si>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</si>
  <si>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</si>
  <si>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</si>
  <si>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</si>
  <si>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</si>
  <si>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</si>
  <si>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</si>
  <si>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</si>
  <si>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</si>
  <si>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2.1</t>
  </si>
  <si>
    <t>2.2</t>
  </si>
  <si>
    <t>2.3</t>
  </si>
  <si>
    <t>2А</t>
  </si>
  <si>
    <t>2А.1</t>
  </si>
  <si>
    <t>Прочие материалы</t>
  </si>
  <si>
    <t>Задняя крышка основного блока уникальный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</si>
  <si>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</si>
  <si>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</si>
  <si>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</si>
  <si>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</si>
  <si>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</si>
  <si>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</si>
  <si>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</si>
  <si>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</si>
  <si>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</si>
  <si>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</si>
  <si>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4.1.11</t>
  </si>
  <si>
    <t>4.1.12</t>
  </si>
  <si>
    <t>4.1.13</t>
  </si>
  <si>
    <t>4.1.14</t>
  </si>
  <si>
    <t>4.1</t>
  </si>
  <si>
    <t>4.2</t>
  </si>
  <si>
    <t>4.3</t>
  </si>
  <si>
    <t>4.4</t>
  </si>
  <si>
    <t>4.5</t>
  </si>
  <si>
    <t>4.6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</si>
  <si>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</si>
  <si>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</si>
  <si>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</si>
  <si>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</si>
  <si>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</si>
  <si>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</si>
  <si>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</si>
  <si>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</si>
  <si>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</si>
  <si>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</si>
  <si>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</si>
  <si>
    <t>5.1.12</t>
  </si>
  <si>
    <t>5.1.13</t>
  </si>
  <si>
    <t>5.1.14</t>
  </si>
  <si>
    <t>5.1</t>
  </si>
  <si>
    <t>5.2</t>
  </si>
  <si>
    <t>5.3</t>
  </si>
  <si>
    <t>Основной блок R80</t>
  </si>
  <si>
    <t>Дисплей R80</t>
  </si>
  <si>
    <t>Плата питания R30</t>
  </si>
  <si>
    <t>Передняя панель</t>
  </si>
  <si>
    <t>Панель задняя</t>
  </si>
  <si>
    <t>Турбинный узел</t>
  </si>
  <si>
    <t>Подлокотник тележки</t>
  </si>
  <si>
    <t>Колонна конструкционная</t>
  </si>
  <si>
    <t>Плата защиты (VPM)</t>
  </si>
  <si>
    <t>Плата мониторинга (VCM)</t>
  </si>
  <si>
    <t>Слот для плагина</t>
  </si>
  <si>
    <t>Блок питания R80</t>
  </si>
  <si>
    <t>Шасси R80</t>
  </si>
  <si>
    <t>Аккумулятор R80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</si>
  <si>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</si>
  <si>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</si>
  <si>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</si>
  <si>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</si>
  <si>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</si>
  <si>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</si>
  <si>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</si>
  <si>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</si>
  <si>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</si>
  <si>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</si>
  <si>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>7.1.11</t>
  </si>
  <si>
    <t>7.1.12</t>
  </si>
  <si>
    <t>7.1.13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</si>
  <si>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</si>
  <si>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</si>
  <si>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</si>
  <si>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</si>
  <si>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</si>
  <si>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</si>
  <si>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</si>
  <si>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</si>
  <si>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</si>
  <si>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</si>
  <si>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</si>
  <si>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</si>
  <si>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</si>
  <si>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</si>
  <si>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</si>
  <si>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</si>
  <si>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</si>
  <si>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</si>
  <si>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</si>
  <si>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8.1.10</t>
  </si>
  <si>
    <t>8.1.11</t>
  </si>
  <si>
    <t>8.1.12</t>
  </si>
  <si>
    <t>8.1.13</t>
  </si>
  <si>
    <t>8.1</t>
  </si>
  <si>
    <t>8.2</t>
  </si>
  <si>
    <t>8.3</t>
  </si>
  <si>
    <t>Плата защиты R80 (VPM)</t>
  </si>
  <si>
    <t>Плата мониторинга R80 (VCM)</t>
  </si>
  <si>
    <t>14.2</t>
  </si>
  <si>
    <t>14.3</t>
  </si>
  <si>
    <t>14.4</t>
  </si>
  <si>
    <t>14.5</t>
  </si>
  <si>
    <t>14.6</t>
  </si>
  <si>
    <t>14.7</t>
  </si>
  <si>
    <t>14.8</t>
  </si>
  <si>
    <t>14.9</t>
  </si>
  <si>
    <t>14.10</t>
  </si>
  <si>
    <t>14.11</t>
  </si>
  <si>
    <t>14.12</t>
  </si>
  <si>
    <t>14.13</t>
  </si>
  <si>
    <t>14.14</t>
  </si>
  <si>
    <t>14.15</t>
  </si>
  <si>
    <t>14.16</t>
  </si>
  <si>
    <t>14.17</t>
  </si>
  <si>
    <t>14.18</t>
  </si>
  <si>
    <t>14.19</t>
  </si>
  <si>
    <t>14.20</t>
  </si>
  <si>
    <t>14.21</t>
  </si>
  <si>
    <t>14.22</t>
  </si>
  <si>
    <t>14.23</t>
  </si>
  <si>
    <t>14.24</t>
  </si>
  <si>
    <t>14.25</t>
  </si>
  <si>
    <t>14.26</t>
  </si>
  <si>
    <t>14.27</t>
  </si>
  <si>
    <t>14.28</t>
  </si>
  <si>
    <t>Шасси  AX600</t>
  </si>
  <si>
    <t>Корпус с дисплеем AX600</t>
  </si>
  <si>
    <t>Шасси АХ800</t>
  </si>
  <si>
    <t>Корпус с дисплеем АХ800</t>
  </si>
  <si>
    <t>Узел расходомера основного</t>
  </si>
  <si>
    <t>Клапан регулирования расхода</t>
  </si>
  <si>
    <t>Клапан регулирования расхода воздуха</t>
  </si>
  <si>
    <t>Плата электронного расходомера</t>
  </si>
  <si>
    <t>14.4.9</t>
  </si>
  <si>
    <t>14.4.10</t>
  </si>
  <si>
    <t>15.2</t>
  </si>
  <si>
    <t>15.3</t>
  </si>
  <si>
    <t>15.4</t>
  </si>
  <si>
    <t>15.5</t>
  </si>
  <si>
    <t>15.6</t>
  </si>
  <si>
    <t>15.7</t>
  </si>
  <si>
    <t>15.8</t>
  </si>
  <si>
    <t>15.9</t>
  </si>
  <si>
    <t>15.10</t>
  </si>
  <si>
    <t>15.11</t>
  </si>
  <si>
    <t>15.12</t>
  </si>
  <si>
    <t>15.13</t>
  </si>
  <si>
    <t>15.14</t>
  </si>
  <si>
    <t>15.15</t>
  </si>
  <si>
    <t>15.16</t>
  </si>
  <si>
    <t>15.17</t>
  </si>
  <si>
    <t>15.18</t>
  </si>
  <si>
    <t>15.19</t>
  </si>
  <si>
    <t>15.20</t>
  </si>
  <si>
    <t>15.21</t>
  </si>
  <si>
    <t>15.22</t>
  </si>
  <si>
    <t>Шасси АХ900</t>
  </si>
  <si>
    <t>Крышка дисплея</t>
  </si>
  <si>
    <t>15.1.2</t>
  </si>
  <si>
    <t>15.1.3</t>
  </si>
  <si>
    <t>15.2.1</t>
  </si>
  <si>
    <t>15.2.2</t>
  </si>
  <si>
    <t>15.2.3</t>
  </si>
  <si>
    <t>15.2.4</t>
  </si>
  <si>
    <t>15.2.5</t>
  </si>
  <si>
    <t>15.2.6</t>
  </si>
  <si>
    <t>15.2.7</t>
  </si>
  <si>
    <t>15.2.8</t>
  </si>
  <si>
    <t>15.2.9</t>
  </si>
  <si>
    <t>15.3.1</t>
  </si>
  <si>
    <t>15.3.2</t>
  </si>
  <si>
    <t>15.3.3</t>
  </si>
  <si>
    <t>15.3.4</t>
  </si>
  <si>
    <t>15.3.5</t>
  </si>
  <si>
    <t>15.3.6</t>
  </si>
  <si>
    <t>15.3.7</t>
  </si>
  <si>
    <t>15.3.8</t>
  </si>
  <si>
    <t>15.3.9</t>
  </si>
  <si>
    <t>15.3.10</t>
  </si>
  <si>
    <t>15.3.11</t>
  </si>
  <si>
    <t>15.3.12</t>
  </si>
  <si>
    <t>15.3.13</t>
  </si>
  <si>
    <t>15.3.14</t>
  </si>
  <si>
    <t>15.3.15</t>
  </si>
  <si>
    <t>15.3.16</t>
  </si>
  <si>
    <t>15.3.17</t>
  </si>
  <si>
    <t>15.3.18</t>
  </si>
  <si>
    <t>15.3.19</t>
  </si>
  <si>
    <t>15.3.20</t>
  </si>
  <si>
    <t>15.3.21</t>
  </si>
  <si>
    <t>15.3.22</t>
  </si>
  <si>
    <t>15.3.23</t>
  </si>
  <si>
    <t>15.3.24</t>
  </si>
  <si>
    <t>15.3.27</t>
  </si>
  <si>
    <t>15.3.28</t>
  </si>
  <si>
    <t>15.4.1</t>
  </si>
  <si>
    <t>15.4.2</t>
  </si>
  <si>
    <t>15.4.3</t>
  </si>
  <si>
    <t>15.4.4</t>
  </si>
  <si>
    <t>15.4.5</t>
  </si>
  <si>
    <t>15.4.6</t>
  </si>
  <si>
    <t>15.4.7</t>
  </si>
  <si>
    <t>15.4.8</t>
  </si>
  <si>
    <t xml:space="preserve">Электромагнитный клапан выбора источника воздуха </t>
  </si>
  <si>
    <t>16.1</t>
  </si>
  <si>
    <t xml:space="preserve">Дисплей электронного расходомера </t>
  </si>
  <si>
    <t xml:space="preserve">Клапан регулирования отрицательного давления </t>
  </si>
  <si>
    <t xml:space="preserve">Селективный клапан отрицательного давления </t>
  </si>
  <si>
    <t>Генератор отрицательного давления</t>
  </si>
  <si>
    <t>Переливной стакан</t>
  </si>
  <si>
    <t xml:space="preserve">Двухпозиционный пятиходовый клапан </t>
  </si>
  <si>
    <t xml:space="preserve">Резервный механический расходомер </t>
  </si>
  <si>
    <t xml:space="preserve">Узел контроля давления источника трубопроводного газа </t>
  </si>
  <si>
    <t>Электронный расходомер</t>
  </si>
  <si>
    <t xml:space="preserve">Узел селекторного клапана электронного расходомера </t>
  </si>
  <si>
    <t xml:space="preserve">Резервный механический клапан открытия расходомера </t>
  </si>
  <si>
    <t>Узел интерфейса вспомогательной подачи воздуха</t>
  </si>
  <si>
    <t>Узел расходомера вспомогательного воздуха</t>
  </si>
  <si>
    <t>Узел предохранительного клапан подачи воздуха</t>
  </si>
  <si>
    <t>Узел бутылок для сбора жидкости</t>
  </si>
  <si>
    <t>Модуль датчиков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</si>
  <si>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</si>
  <si>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</si>
  <si>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</si>
  <si>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</si>
  <si>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</si>
  <si>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</si>
  <si>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</si>
  <si>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</si>
  <si>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</si>
  <si>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16.11</t>
  </si>
  <si>
    <t>16.12</t>
  </si>
  <si>
    <t>16.13</t>
  </si>
  <si>
    <t>16.14</t>
  </si>
  <si>
    <t>16.15</t>
  </si>
  <si>
    <t>16.16</t>
  </si>
  <si>
    <t>16.17</t>
  </si>
  <si>
    <t>16.18</t>
  </si>
  <si>
    <t>16.19</t>
  </si>
  <si>
    <t>16.20</t>
  </si>
  <si>
    <t>16.21</t>
  </si>
  <si>
    <t>16.22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</si>
  <si>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</si>
  <si>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</si>
  <si>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</si>
  <si>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</si>
  <si>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</si>
  <si>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</si>
  <si>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</si>
  <si>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</si>
  <si>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16.1.9</t>
  </si>
  <si>
    <t>16.1.10</t>
  </si>
  <si>
    <t>16.1.11</t>
  </si>
  <si>
    <t>16.1.12</t>
  </si>
  <si>
    <t>16.1.13</t>
  </si>
  <si>
    <t>16.1.14</t>
  </si>
  <si>
    <t>16.1.15</t>
  </si>
  <si>
    <t>16.1.16</t>
  </si>
  <si>
    <t>16.1.17</t>
  </si>
  <si>
    <t>16.1.18</t>
  </si>
  <si>
    <t>16.1.19</t>
  </si>
  <si>
    <t>16.1.20</t>
  </si>
  <si>
    <t>16.1.21</t>
  </si>
  <si>
    <t>16.1.22</t>
  </si>
  <si>
    <t>16.1.23</t>
  </si>
  <si>
    <t>16.1.24</t>
  </si>
  <si>
    <t>16.1.25</t>
  </si>
  <si>
    <t>16.1.26</t>
  </si>
  <si>
    <t>16.1.27</t>
  </si>
  <si>
    <t>16.1.28</t>
  </si>
  <si>
    <t>16.1.29</t>
  </si>
  <si>
    <t>16.1.30</t>
  </si>
  <si>
    <t>16.1.31</t>
  </si>
  <si>
    <t>16.1.32</t>
  </si>
  <si>
    <t>16.1.33</t>
  </si>
  <si>
    <t>16.1.34</t>
  </si>
  <si>
    <t>16.1.35</t>
  </si>
  <si>
    <t>16.1.36</t>
  </si>
  <si>
    <t>16.1.37</t>
  </si>
  <si>
    <t>16.1.38</t>
  </si>
  <si>
    <t>16.1.39</t>
  </si>
  <si>
    <t>16.1.40</t>
  </si>
  <si>
    <t>16.1.41</t>
  </si>
  <si>
    <t>16.1.42</t>
  </si>
  <si>
    <t>16.1.43</t>
  </si>
  <si>
    <t>16.1.44</t>
  </si>
  <si>
    <t>16.1.45</t>
  </si>
  <si>
    <t>16.1.46</t>
  </si>
  <si>
    <t>16.1.47</t>
  </si>
  <si>
    <t>16.1.48</t>
  </si>
  <si>
    <t>ELM</t>
  </si>
  <si>
    <t>MEC</t>
  </si>
  <si>
    <t>MIX</t>
  </si>
  <si>
    <t>CAB</t>
  </si>
  <si>
    <t>PWR</t>
  </si>
  <si>
    <t>ETC</t>
  </si>
  <si>
    <t>2А.2</t>
  </si>
  <si>
    <t>2А.3</t>
  </si>
  <si>
    <t>2А.4</t>
  </si>
  <si>
    <t>MIX00001A</t>
  </si>
  <si>
    <t>MIX00002A</t>
  </si>
  <si>
    <t>MEC00001A</t>
  </si>
  <si>
    <t>MIX00003A</t>
  </si>
  <si>
    <t>CAB00001A</t>
  </si>
  <si>
    <t>CAB00002A</t>
  </si>
  <si>
    <t>CAB00003A</t>
  </si>
  <si>
    <t>PWR00001A</t>
  </si>
  <si>
    <t>MIX00004A</t>
  </si>
  <si>
    <t>ETC00001A</t>
  </si>
  <si>
    <t>MEC00002A</t>
  </si>
  <si>
    <t>MIX00005A</t>
  </si>
  <si>
    <t>ETC00002A</t>
  </si>
  <si>
    <t>MEC00003A</t>
  </si>
  <si>
    <t>MEC00004A</t>
  </si>
  <si>
    <t>MIX00006A</t>
  </si>
  <si>
    <t>ELM00001A</t>
  </si>
  <si>
    <t>ELM00002A</t>
  </si>
  <si>
    <t>ELM00003A</t>
  </si>
  <si>
    <t>ELM00004A</t>
  </si>
  <si>
    <t>MEC00005A</t>
  </si>
  <si>
    <t>MEC00006A</t>
  </si>
  <si>
    <t>MIX00007A</t>
  </si>
  <si>
    <t>MEC00007A</t>
  </si>
  <si>
    <t>MEC00008A</t>
  </si>
  <si>
    <t>MEC00009A</t>
  </si>
  <si>
    <t>MEC00010A</t>
  </si>
  <si>
    <t>MEC00011A</t>
  </si>
  <si>
    <t>MEC00012A</t>
  </si>
  <si>
    <t>MEC00013A</t>
  </si>
  <si>
    <t>CAB00004A</t>
  </si>
  <si>
    <t>MIX00022A</t>
  </si>
  <si>
    <t>MEC00040A</t>
  </si>
  <si>
    <t>MEC00041A</t>
  </si>
  <si>
    <t>MEC00042A</t>
  </si>
  <si>
    <t>PWR00004A</t>
  </si>
  <si>
    <t>MIX00023A</t>
  </si>
  <si>
    <t>MEC00043A</t>
  </si>
  <si>
    <t>MEC00044A</t>
  </si>
  <si>
    <t>ETC00007A</t>
  </si>
  <si>
    <t>MEC00045A</t>
  </si>
  <si>
    <t>MIX00024A</t>
  </si>
  <si>
    <t>MIX00025A</t>
  </si>
  <si>
    <t>ELM00013A</t>
  </si>
  <si>
    <t>ELM00014A</t>
  </si>
  <si>
    <t>MIX00034A</t>
  </si>
  <si>
    <t>MIX00035A</t>
  </si>
  <si>
    <t>MEC00058A</t>
  </si>
  <si>
    <t>MEC00059A</t>
  </si>
  <si>
    <t>MIX00036A</t>
  </si>
  <si>
    <t>PWR00007A</t>
  </si>
  <si>
    <t>MEC00060A</t>
  </si>
  <si>
    <t>MEC00061A</t>
  </si>
  <si>
    <t>MEC00062A</t>
  </si>
  <si>
    <t>ELM00019A</t>
  </si>
  <si>
    <t>ELM00020A</t>
  </si>
  <si>
    <t>MIX00037A</t>
  </si>
  <si>
    <t>MIX00038A</t>
  </si>
  <si>
    <t>MEC00095A</t>
  </si>
  <si>
    <t>MEC00096A</t>
  </si>
  <si>
    <t>MEC00097A</t>
  </si>
  <si>
    <t>MEC00098A</t>
  </si>
  <si>
    <t>MIX00065A</t>
  </si>
  <si>
    <t>MIX00066A</t>
  </si>
  <si>
    <t>MEC00099A</t>
  </si>
  <si>
    <t>MEC00100A</t>
  </si>
  <si>
    <t>MIX00067A</t>
  </si>
  <si>
    <t>ELM00027A</t>
  </si>
  <si>
    <t>ELM00028A</t>
  </si>
  <si>
    <t>ELM00029A</t>
  </si>
  <si>
    <t>PWR00011A</t>
  </si>
  <si>
    <t>ELM00030A</t>
  </si>
  <si>
    <t>ELM00031A</t>
  </si>
  <si>
    <t>MEC00078A</t>
  </si>
  <si>
    <t>MEC00079A</t>
  </si>
  <si>
    <t>MIX00056A</t>
  </si>
  <si>
    <t>MEC00080A</t>
  </si>
  <si>
    <t>MEC00081A</t>
  </si>
  <si>
    <t>MEC00082A</t>
  </si>
  <si>
    <t>MEC00083A</t>
  </si>
  <si>
    <t>MIX00057A</t>
  </si>
  <si>
    <t>MIX00058A</t>
  </si>
  <si>
    <t>MIX00059A</t>
  </si>
  <si>
    <t>MEC00084A</t>
  </si>
  <si>
    <t>MEC00085A</t>
  </si>
  <si>
    <t>MIX00060A</t>
  </si>
  <si>
    <t>MEC00086A</t>
  </si>
  <si>
    <t>MEC00087A</t>
  </si>
  <si>
    <t>MEC00088A</t>
  </si>
  <si>
    <t>MEC00089A</t>
  </si>
  <si>
    <t>MEC00090A</t>
  </si>
  <si>
    <t>MEC00091A</t>
  </si>
  <si>
    <t>MEC00092A</t>
  </si>
  <si>
    <t>MEC00093A</t>
  </si>
  <si>
    <t>MIX00061A</t>
  </si>
  <si>
    <t>MIX00062A</t>
  </si>
  <si>
    <t>MEC00094A</t>
  </si>
  <si>
    <t>MIX00063A</t>
  </si>
  <si>
    <t>MIX00078A</t>
  </si>
  <si>
    <t>№</t>
  </si>
  <si>
    <t>Наименование</t>
  </si>
  <si>
    <t>Количество</t>
  </si>
  <si>
    <t>Применяемость</t>
  </si>
  <si>
    <t>Дата добавления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</si>
  <si>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</si>
  <si>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</si>
  <si>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</si>
  <si>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</si>
  <si>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</si>
  <si>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</si>
  <si>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</si>
  <si>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</si>
  <si>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</si>
  <si>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</si>
  <si>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</si>
  <si>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</si>
  <si>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</si>
  <si>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</si>
  <si>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</si>
  <si>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</si>
  <si>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</si>
  <si>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</si>
  <si>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</si>
  <si>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</si>
  <si>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</si>
  <si>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</si>
  <si>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</si>
  <si>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</si>
  <si>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</si>
  <si>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</si>
  <si>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</si>
  <si>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</si>
  <si>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</si>
  <si>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</si>
  <si>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</si>
  <si>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</si>
  <si>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</si>
  <si>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</si>
  <si>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</si>
  <si>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</si>
  <si>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</si>
  <si>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</si>
  <si>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</si>
  <si>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</si>
  <si>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</si>
  <si>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</si>
  <si>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</si>
  <si>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</si>
  <si>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</si>
  <si>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</si>
  <si>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</si>
  <si>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</si>
  <si>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</si>
  <si>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</si>
  <si>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</si>
  <si>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</si>
  <si>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</si>
  <si>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</si>
  <si>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</si>
  <si>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</si>
  <si>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</si>
  <si>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</si>
  <si>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</si>
  <si>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</si>
  <si>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</si>
  <si>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</si>
  <si>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</si>
  <si>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</si>
  <si>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</si>
  <si>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</si>
  <si>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11.1</t>
  </si>
  <si>
    <t>11.2</t>
  </si>
  <si>
    <t>11.3</t>
  </si>
  <si>
    <t>11.4</t>
  </si>
  <si>
    <t>11.5</t>
  </si>
  <si>
    <t>11.6</t>
  </si>
  <si>
    <t>12.1</t>
  </si>
  <si>
    <t>12.2</t>
  </si>
  <si>
    <t>12.3</t>
  </si>
  <si>
    <t>12.4</t>
  </si>
  <si>
    <t>13.1</t>
  </si>
  <si>
    <t>13.2</t>
  </si>
  <si>
    <t>13.3</t>
  </si>
  <si>
    <t>17.1</t>
  </si>
  <si>
    <t>17.12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</si>
  <si>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</si>
  <si>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</si>
  <si>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</si>
  <si>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</si>
  <si>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</si>
  <si>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</si>
  <si>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</si>
  <si>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</si>
  <si>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</si>
  <si>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</si>
  <si>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17.13</t>
  </si>
  <si>
    <t>17.14</t>
  </si>
  <si>
    <t>17.15</t>
  </si>
  <si>
    <t>17.16</t>
  </si>
  <si>
    <t>17.17</t>
  </si>
  <si>
    <t>17.18</t>
  </si>
  <si>
    <t>18.1</t>
  </si>
  <si>
    <t>18.2</t>
  </si>
  <si>
    <t>18.3</t>
  </si>
  <si>
    <t>18.4</t>
  </si>
  <si>
    <t>19.1</t>
  </si>
  <si>
    <t>19.2</t>
  </si>
  <si>
    <t/>
  </si>
  <si>
    <t>MIX00054A</t>
  </si>
  <si>
    <t>MIX00055A</t>
  </si>
  <si>
    <t>MIX00064A</t>
  </si>
  <si>
    <t>MIX00068A</t>
  </si>
  <si>
    <t>MIX00069A</t>
  </si>
  <si>
    <t>MEC00118A</t>
  </si>
  <si>
    <t>MEC00119A</t>
  </si>
  <si>
    <t>MIX00082A</t>
  </si>
  <si>
    <t>MIX00083A</t>
  </si>
  <si>
    <t>MEC00126A</t>
  </si>
  <si>
    <t>MIX00089A</t>
  </si>
  <si>
    <t>MIX00092A</t>
  </si>
  <si>
    <t>MEC00143A</t>
  </si>
  <si>
    <t>MEC00144A</t>
  </si>
  <si>
    <t>MEC00146A</t>
  </si>
  <si>
    <t>MEC00148A</t>
  </si>
  <si>
    <t>MEC00150A</t>
  </si>
  <si>
    <t>MIX00095A</t>
  </si>
  <si>
    <t>MIX00096A</t>
  </si>
  <si>
    <t>MEC00151A</t>
  </si>
  <si>
    <t>MIX00097A</t>
  </si>
  <si>
    <t>MIX00098A</t>
  </si>
  <si>
    <t>MEC00152A</t>
  </si>
  <si>
    <t>MEC00154A</t>
  </si>
  <si>
    <t>MIX00099A</t>
  </si>
  <si>
    <t>MEC00155A</t>
  </si>
  <si>
    <t>ELM00042A</t>
  </si>
  <si>
    <t>Преобразователь АС-DC</t>
  </si>
  <si>
    <t>Клемма эквипотенциального заземления</t>
  </si>
  <si>
    <t>Разъем подачи O2 низкого давления</t>
  </si>
  <si>
    <t>Разъем питания от сети переменного тока</t>
  </si>
  <si>
    <t>Рамка для разъема питания</t>
  </si>
  <si>
    <t>Разъем питания от сети постоянного тока</t>
  </si>
  <si>
    <t>Заглушка датчика кислорода</t>
  </si>
  <si>
    <t>Фиксатор кабеля питания</t>
  </si>
  <si>
    <t>Крышка защитная</t>
  </si>
  <si>
    <t>Модуль соединительный</t>
  </si>
  <si>
    <t>Модуль управления</t>
  </si>
  <si>
    <t>Модуль силовой</t>
  </si>
  <si>
    <t>Ручка для переноски</t>
  </si>
  <si>
    <t>Стенка боковая правая</t>
  </si>
  <si>
    <t>Фильтр О2</t>
  </si>
  <si>
    <t xml:space="preserve">Фильтр HEPA </t>
  </si>
  <si>
    <t>Фильтр воздухозаборника охлаждения с крышкой</t>
  </si>
  <si>
    <t>Штуцер подачи O2 высокого давления</t>
  </si>
  <si>
    <t>Стенка</t>
  </si>
  <si>
    <t>Модуль адаптера аккумуляторной батареи</t>
  </si>
  <si>
    <t>ELM00043A</t>
  </si>
  <si>
    <t>MEC00157A</t>
  </si>
  <si>
    <t>MEC00158A</t>
  </si>
  <si>
    <t>Жгут 1</t>
  </si>
  <si>
    <t>Жгут 2</t>
  </si>
  <si>
    <t>CAB00014A</t>
  </si>
  <si>
    <t>CAB00015A</t>
  </si>
  <si>
    <t>Модуль энкодера</t>
  </si>
  <si>
    <t>ELM00044A</t>
  </si>
  <si>
    <t xml:space="preserve">Модуль сигнализации </t>
  </si>
  <si>
    <t>ELM00045A</t>
  </si>
  <si>
    <t>Антипылевая защита фильтра HEPA</t>
  </si>
  <si>
    <t>MEC00159A</t>
  </si>
  <si>
    <t>Кабель питания 12 В</t>
  </si>
  <si>
    <t>CAB00016A</t>
  </si>
  <si>
    <t>Кабель эквипотенциального заземления</t>
  </si>
  <si>
    <t>CAB00017A</t>
  </si>
  <si>
    <t>Фильтр воздухозаборника охлаждения</t>
  </si>
  <si>
    <t>MEC00160A</t>
  </si>
  <si>
    <t>FLW</t>
  </si>
  <si>
    <t>Штекер для подачи кислорода от источника низкого давления</t>
  </si>
  <si>
    <t>FLW00001A</t>
  </si>
  <si>
    <t>Шланг для подачи кислорода в аппарат, длина 3,0 м</t>
  </si>
  <si>
    <t>FLW00002A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</si>
</sst>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"/>
    <numFmt numFmtId="166" formatCode="0.0"/>
  </numFmts>
  <fonts count="23" x14ac:knownFonts="1">
    <font>
      <sz val="8"/>
      <name val="Arial"/>
      <family val="2"/>
    </font>
    <font>
      <sz val="8"/>
      <name val="Arial"/>
      <family val="2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sz val="26"/>
      <name val="Times New Roman"/>
      <family val="1"/>
      <charset val="204"/>
    </font>
    <font>
      <sz val="10"/>
      <color indexed="63"/>
      <name val="Arial"/>
      <family val="2"/>
    </font>
    <font>
      <sz val="10"/>
      <color indexed="63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Arial"/>
      <family val="2"/>
      <charset val="204"/>
    </font>
    <font>
      <sz val="9"/>
      <name val="Arial"/>
      <family val="2"/>
      <charset val="204"/>
    </font>
    <font>
      <sz val="8"/>
      <color theme="0"/>
      <name val="Times New Roman"/>
      <family val="1"/>
      <charset val="204"/>
    </font>
    <font>
      <sz val="11"/>
      <color theme="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9"/>
      <color theme="0"/>
      <name val="Times New Roman"/>
      <family val="1"/>
      <charset val="204"/>
    </font>
    <font>
      <b/>
      <sz val="10"/>
      <color theme="0"/>
      <name val="Times New Roman"/>
      <family val="1"/>
      <charset val="204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  <charset val="204"/>
    </font>
    <font>
      <sz val="8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29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9">
    <xf numFmtId="0" fontId="0" fillId="0" borderId="0" xfId="0"/>
    <xf numFmtId="0" fontId="4" fillId="0" borderId="0" xfId="0" applyFont="1"/>
    <xf numFmtId="0" fontId="14" fillId="3" borderId="0" xfId="0" applyFont="1" applyFill="1"/>
    <xf numFmtId="0" fontId="6" fillId="0" borderId="0" xfId="0" applyFont="1"/>
    <xf numFmtId="4" fontId="15" fillId="3" borderId="2" xfId="0" applyNumberFormat="1" applyFont="1" applyFill="1" applyBorder="1" applyAlignment="1">
      <alignment horizontal="right" vertical="center" wrapText="1"/>
    </xf>
    <xf numFmtId="165" fontId="15" fillId="3" borderId="3" xfId="0" applyNumberFormat="1" applyFont="1" applyFill="1" applyBorder="1" applyAlignment="1">
      <alignment horizontal="right" vertical="center" wrapText="1"/>
    </xf>
    <xf numFmtId="0" fontId="16" fillId="3" borderId="3" xfId="1" applyFont="1" applyFill="1" applyBorder="1" applyAlignment="1">
      <alignment horizontal="center" vertical="center"/>
    </xf>
    <xf numFmtId="4" fontId="17" fillId="3" borderId="3" xfId="0" applyNumberFormat="1" applyFont="1" applyFill="1" applyBorder="1" applyAlignment="1">
      <alignment horizontal="right" vertical="top" wrapText="1"/>
    </xf>
    <xf numFmtId="0" fontId="17" fillId="3" borderId="3" xfId="0" applyFont="1" applyFill="1" applyBorder="1" applyAlignment="1">
      <alignment horizontal="right" vertical="top" wrapText="1"/>
    </xf>
    <xf numFmtId="165" fontId="17" fillId="3" borderId="3" xfId="0" applyNumberFormat="1" applyFont="1" applyFill="1" applyBorder="1" applyAlignment="1">
      <alignment horizontal="right" vertical="top" wrapText="1"/>
    </xf>
    <xf numFmtId="2" fontId="17" fillId="3" borderId="3" xfId="0" applyNumberFormat="1" applyFont="1" applyFill="1" applyBorder="1" applyAlignment="1">
      <alignment horizontal="right" vertical="top" wrapText="1"/>
    </xf>
    <xf numFmtId="0" fontId="14" fillId="3" borderId="3" xfId="0" applyFont="1" applyFill="1" applyBorder="1"/>
    <xf numFmtId="0" fontId="4" fillId="0" borderId="3" xfId="0" applyFont="1" applyBorder="1"/>
    <xf numFmtId="0" fontId="4" fillId="0" borderId="4" xfId="0" applyFont="1" applyBorder="1"/>
    <xf numFmtId="4" fontId="16" fillId="3" borderId="3" xfId="0" applyNumberFormat="1" applyFont="1" applyFill="1" applyBorder="1" applyAlignment="1">
      <alignment horizontal="right" vertical="top" wrapText="1"/>
    </xf>
    <xf numFmtId="165" fontId="16" fillId="3" borderId="3" xfId="0" applyNumberFormat="1" applyFont="1" applyFill="1" applyBorder="1" applyAlignment="1">
      <alignment horizontal="right" vertical="top" wrapText="1"/>
    </xf>
    <xf numFmtId="0" fontId="17" fillId="3" borderId="5" xfId="0" applyFont="1" applyFill="1" applyBorder="1" applyAlignment="1">
      <alignment horizontal="right" vertical="top" wrapText="1"/>
    </xf>
    <xf numFmtId="165" fontId="17" fillId="3" borderId="5" xfId="0" applyNumberFormat="1" applyFont="1" applyFill="1" applyBorder="1" applyAlignment="1">
      <alignment horizontal="right" vertical="top" wrapText="1"/>
    </xf>
    <xf numFmtId="4" fontId="18" fillId="3" borderId="6" xfId="0" applyNumberFormat="1" applyFont="1" applyFill="1" applyBorder="1" applyAlignment="1">
      <alignment horizontal="right" vertical="top" wrapText="1"/>
    </xf>
    <xf numFmtId="164" fontId="18" fillId="3" borderId="6" xfId="0" applyNumberFormat="1" applyFont="1" applyFill="1" applyBorder="1" applyAlignment="1">
      <alignment horizontal="right" vertical="top" wrapText="1"/>
    </xf>
    <xf numFmtId="165" fontId="18" fillId="3" borderId="6" xfId="0" applyNumberFormat="1" applyFont="1" applyFill="1" applyBorder="1" applyAlignment="1">
      <alignment horizontal="right"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" fontId="17" fillId="3" borderId="7" xfId="0" applyNumberFormat="1" applyFont="1" applyFill="1" applyBorder="1" applyAlignment="1">
      <alignment horizontal="right" vertical="top" wrapText="1"/>
    </xf>
    <xf numFmtId="0" fontId="17" fillId="3" borderId="7" xfId="0" applyFont="1" applyFill="1" applyBorder="1" applyAlignment="1">
      <alignment horizontal="right" vertical="top" wrapText="1"/>
    </xf>
    <xf numFmtId="165" fontId="15" fillId="3" borderId="5" xfId="0" applyNumberFormat="1" applyFont="1" applyFill="1" applyBorder="1" applyAlignment="1">
      <alignment horizontal="right" vertical="center" wrapText="1"/>
    </xf>
    <xf numFmtId="4" fontId="17" fillId="4" borderId="3" xfId="0" applyNumberFormat="1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horizontal="left" vertical="center" wrapText="1"/>
    </xf>
    <xf numFmtId="165" fontId="17" fillId="4" borderId="3" xfId="0" applyNumberFormat="1" applyFont="1" applyFill="1" applyBorder="1" applyAlignment="1">
      <alignment horizontal="left" vertical="center" wrapText="1"/>
    </xf>
    <xf numFmtId="0" fontId="17" fillId="4" borderId="5" xfId="0" applyFont="1" applyFill="1" applyBorder="1" applyAlignment="1">
      <alignment horizontal="left" vertical="center" wrapText="1"/>
    </xf>
    <xf numFmtId="165" fontId="17" fillId="4" borderId="5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4" fontId="17" fillId="5" borderId="3" xfId="0" applyNumberFormat="1" applyFont="1" applyFill="1" applyBorder="1" applyAlignment="1">
      <alignment horizontal="left" vertical="center" wrapText="1"/>
    </xf>
    <xf numFmtId="0" fontId="17" fillId="5" borderId="3" xfId="0" applyFont="1" applyFill="1" applyBorder="1" applyAlignment="1">
      <alignment horizontal="left" vertical="center" wrapText="1"/>
    </xf>
    <xf numFmtId="165" fontId="17" fillId="5" borderId="3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4" fontId="17" fillId="6" borderId="3" xfId="0" applyNumberFormat="1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horizontal="left" vertical="center" wrapText="1"/>
    </xf>
    <xf numFmtId="165" fontId="17" fillId="6" borderId="3" xfId="0" applyNumberFormat="1" applyFont="1" applyFill="1" applyBorder="1" applyAlignment="1">
      <alignment horizontal="left" vertical="center" wrapText="1"/>
    </xf>
    <xf numFmtId="0" fontId="16" fillId="4" borderId="3" xfId="1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left" vertical="center"/>
    </xf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16" fillId="5" borderId="3" xfId="1" applyFont="1" applyFill="1" applyBorder="1" applyAlignment="1">
      <alignment horizontal="left" vertical="center"/>
    </xf>
    <xf numFmtId="4" fontId="17" fillId="5" borderId="2" xfId="0" applyNumberFormat="1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2" fontId="17" fillId="5" borderId="3" xfId="0" applyNumberFormat="1" applyFont="1" applyFill="1" applyBorder="1" applyAlignment="1">
      <alignment horizontal="left" vertical="center" wrapText="1"/>
    </xf>
    <xf numFmtId="2" fontId="17" fillId="4" borderId="3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/>
    <xf numFmtId="0" fontId="6" fillId="0" borderId="8" xfId="0" applyFont="1" applyBorder="1"/>
    <xf numFmtId="4" fontId="15" fillId="3" borderId="9" xfId="0" applyNumberFormat="1" applyFont="1" applyFill="1" applyBorder="1" applyAlignment="1">
      <alignment horizontal="right" vertical="center" wrapText="1"/>
    </xf>
    <xf numFmtId="2" fontId="17" fillId="5" borderId="3" xfId="0" applyNumberFormat="1" applyFont="1" applyFill="1" applyBorder="1" applyAlignment="1">
      <alignment horizontal="right" vertical="top" wrapText="1"/>
    </xf>
    <xf numFmtId="0" fontId="17" fillId="5" borderId="3" xfId="0" applyFont="1" applyFill="1" applyBorder="1" applyAlignment="1">
      <alignment horizontal="right" vertical="top" wrapText="1"/>
    </xf>
    <xf numFmtId="165" fontId="17" fillId="5" borderId="3" xfId="0" applyNumberFormat="1" applyFont="1" applyFill="1" applyBorder="1" applyAlignment="1">
      <alignment horizontal="right" vertical="top" wrapText="1"/>
    </xf>
    <xf numFmtId="4" fontId="17" fillId="5" borderId="3" xfId="0" applyNumberFormat="1" applyFont="1" applyFill="1" applyBorder="1" applyAlignment="1">
      <alignment horizontal="right" vertical="top" wrapText="1"/>
    </xf>
    <xf numFmtId="4" fontId="5" fillId="0" borderId="7" xfId="0" applyNumberFormat="1" applyFont="1" applyBorder="1" applyAlignment="1">
      <alignment horizontal="center" vertical="center" wrapText="1"/>
    </xf>
    <xf numFmtId="165" fontId="17" fillId="3" borderId="7" xfId="0" applyNumberFormat="1" applyFont="1" applyFill="1" applyBorder="1" applyAlignment="1">
      <alignment horizontal="right" vertical="top" wrapText="1"/>
    </xf>
    <xf numFmtId="4" fontId="5" fillId="0" borderId="11" xfId="0" applyNumberFormat="1" applyFont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right" vertical="top" wrapText="1"/>
    </xf>
    <xf numFmtId="165" fontId="17" fillId="3" borderId="11" xfId="0" applyNumberFormat="1" applyFont="1" applyFill="1" applyBorder="1" applyAlignment="1">
      <alignment horizontal="right" vertical="top" wrapText="1"/>
    </xf>
    <xf numFmtId="0" fontId="17" fillId="3" borderId="13" xfId="0" applyFont="1" applyFill="1" applyBorder="1" applyAlignment="1">
      <alignment horizontal="right" vertical="top" wrapText="1"/>
    </xf>
    <xf numFmtId="165" fontId="17" fillId="3" borderId="16" xfId="0" applyNumberFormat="1" applyFont="1" applyFill="1" applyBorder="1" applyAlignment="1">
      <alignment horizontal="right" vertical="top" wrapText="1"/>
    </xf>
    <xf numFmtId="0" fontId="17" fillId="3" borderId="16" xfId="0" applyFont="1" applyFill="1" applyBorder="1" applyAlignment="1">
      <alignment horizontal="right" vertical="top" wrapText="1"/>
    </xf>
    <xf numFmtId="4" fontId="16" fillId="3" borderId="13" xfId="0" applyNumberFormat="1" applyFont="1" applyFill="1" applyBorder="1" applyAlignment="1">
      <alignment horizontal="right" vertical="top" wrapText="1"/>
    </xf>
    <xf numFmtId="0" fontId="16" fillId="3" borderId="13" xfId="0" applyFont="1" applyFill="1" applyBorder="1" applyAlignment="1">
      <alignment horizontal="right" vertical="top" wrapText="1"/>
    </xf>
    <xf numFmtId="4" fontId="6" fillId="0" borderId="11" xfId="0" applyNumberFormat="1" applyFont="1" applyBorder="1" applyAlignment="1">
      <alignment horizontal="center" vertical="center" wrapText="1"/>
    </xf>
    <xf numFmtId="165" fontId="16" fillId="3" borderId="11" xfId="0" applyNumberFormat="1" applyFont="1" applyFill="1" applyBorder="1" applyAlignment="1">
      <alignment horizontal="right" vertical="top" wrapText="1"/>
    </xf>
    <xf numFmtId="0" fontId="16" fillId="3" borderId="11" xfId="0" applyFont="1" applyFill="1" applyBorder="1" applyAlignment="1">
      <alignment horizontal="right" vertical="top" wrapText="1"/>
    </xf>
    <xf numFmtId="0" fontId="9" fillId="2" borderId="11" xfId="0" applyFont="1" applyFill="1" applyBorder="1" applyAlignment="1">
      <alignment horizontal="left" vertical="top"/>
    </xf>
    <xf numFmtId="0" fontId="9" fillId="2" borderId="16" xfId="0" applyFont="1" applyFill="1" applyBorder="1" applyAlignment="1">
      <alignment horizontal="left" vertical="top"/>
    </xf>
    <xf numFmtId="165" fontId="16" fillId="3" borderId="16" xfId="0" applyNumberFormat="1" applyFont="1" applyFill="1" applyBorder="1" applyAlignment="1">
      <alignment horizontal="right" vertical="top" wrapText="1"/>
    </xf>
    <xf numFmtId="0" fontId="16" fillId="3" borderId="16" xfId="0" applyFont="1" applyFill="1" applyBorder="1" applyAlignment="1">
      <alignment horizontal="right" vertical="top" wrapText="1"/>
    </xf>
    <xf numFmtId="0" fontId="10" fillId="2" borderId="11" xfId="0" applyFont="1" applyFill="1" applyBorder="1" applyAlignment="1">
      <alignment horizontal="left" vertical="top"/>
    </xf>
    <xf numFmtId="4" fontId="5" fillId="0" borderId="9" xfId="0" applyNumberFormat="1" applyFont="1" applyBorder="1" applyAlignment="1">
      <alignment horizontal="center" vertical="center" wrapText="1"/>
    </xf>
    <xf numFmtId="165" fontId="17" fillId="3" borderId="9" xfId="0" applyNumberFormat="1" applyFont="1" applyFill="1" applyBorder="1" applyAlignment="1">
      <alignment horizontal="right" vertical="top" wrapText="1"/>
    </xf>
    <xf numFmtId="0" fontId="17" fillId="3" borderId="9" xfId="0" applyFont="1" applyFill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center" vertical="center" wrapText="1"/>
    </xf>
    <xf numFmtId="4" fontId="6" fillId="0" borderId="16" xfId="0" applyNumberFormat="1" applyFont="1" applyBorder="1" applyAlignment="1">
      <alignment horizontal="center" vertical="center" wrapText="1"/>
    </xf>
    <xf numFmtId="165" fontId="17" fillId="3" borderId="13" xfId="0" applyNumberFormat="1" applyFont="1" applyFill="1" applyBorder="1" applyAlignment="1">
      <alignment horizontal="right" vertical="top" wrapText="1"/>
    </xf>
    <xf numFmtId="0" fontId="6" fillId="0" borderId="12" xfId="0" applyFont="1" applyBorder="1" applyAlignment="1">
      <alignment horizontal="left" vertical="center" wrapText="1"/>
    </xf>
    <xf numFmtId="4" fontId="5" fillId="0" borderId="12" xfId="0" applyNumberFormat="1" applyFont="1" applyBorder="1" applyAlignment="1">
      <alignment horizontal="center" vertical="center" wrapText="1"/>
    </xf>
    <xf numFmtId="165" fontId="17" fillId="3" borderId="12" xfId="0" applyNumberFormat="1" applyFont="1" applyFill="1" applyBorder="1" applyAlignment="1">
      <alignment horizontal="right" vertical="top" wrapText="1"/>
    </xf>
    <xf numFmtId="0" fontId="17" fillId="3" borderId="12" xfId="0" applyFont="1" applyFill="1" applyBorder="1" applyAlignment="1">
      <alignment horizontal="right" vertical="top" wrapText="1"/>
    </xf>
    <xf numFmtId="0" fontId="6" fillId="0" borderId="11" xfId="0" applyFont="1" applyBorder="1"/>
    <xf numFmtId="0" fontId="6" fillId="0" borderId="16" xfId="0" applyFont="1" applyBorder="1"/>
    <xf numFmtId="0" fontId="10" fillId="2" borderId="1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right" vertical="top" wrapText="1"/>
    </xf>
    <xf numFmtId="2" fontId="12" fillId="0" borderId="1" xfId="0" applyNumberFormat="1" applyFont="1" applyBorder="1" applyAlignment="1">
      <alignment horizontal="right" vertical="top" wrapText="1"/>
    </xf>
    <xf numFmtId="165" fontId="12" fillId="0" borderId="1" xfId="0" applyNumberFormat="1" applyFont="1" applyBorder="1" applyAlignment="1">
      <alignment horizontal="right" vertical="top" wrapText="1"/>
    </xf>
    <xf numFmtId="4" fontId="12" fillId="0" borderId="1" xfId="0" applyNumberFormat="1" applyFont="1" applyBorder="1" applyAlignment="1">
      <alignment horizontal="right" vertical="top" wrapText="1"/>
    </xf>
    <xf numFmtId="0" fontId="13" fillId="0" borderId="20" xfId="0" applyFont="1" applyBorder="1" applyAlignment="1">
      <alignment horizontal="right" vertical="top" wrapText="1"/>
    </xf>
    <xf numFmtId="4" fontId="13" fillId="0" borderId="20" xfId="0" applyNumberFormat="1" applyFont="1" applyBorder="1" applyAlignment="1">
      <alignment horizontal="right" vertical="top" wrapText="1"/>
    </xf>
    <xf numFmtId="165" fontId="13" fillId="0" borderId="20" xfId="0" applyNumberFormat="1" applyFont="1" applyBorder="1" applyAlignment="1">
      <alignment horizontal="right" vertical="top" wrapText="1"/>
    </xf>
    <xf numFmtId="2" fontId="13" fillId="0" borderId="20" xfId="0" applyNumberFormat="1" applyFont="1" applyBorder="1" applyAlignment="1">
      <alignment horizontal="right" vertical="top" wrapText="1"/>
    </xf>
    <xf numFmtId="0" fontId="13" fillId="4" borderId="20" xfId="0" applyFont="1" applyFill="1" applyBorder="1" applyAlignment="1">
      <alignment horizontal="right" vertical="top" wrapText="1"/>
    </xf>
    <xf numFmtId="4" fontId="13" fillId="4" borderId="20" xfId="0" applyNumberFormat="1" applyFont="1" applyFill="1" applyBorder="1" applyAlignment="1">
      <alignment horizontal="right" vertical="top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165" fontId="13" fillId="4" borderId="20" xfId="0" applyNumberFormat="1" applyFont="1" applyFill="1" applyBorder="1" applyAlignment="1">
      <alignment horizontal="right" vertical="top" wrapText="1"/>
    </xf>
    <xf numFmtId="0" fontId="13" fillId="5" borderId="20" xfId="0" applyFont="1" applyFill="1" applyBorder="1" applyAlignment="1">
      <alignment horizontal="right" vertical="top" wrapText="1"/>
    </xf>
    <xf numFmtId="4" fontId="13" fillId="5" borderId="20" xfId="0" applyNumberFormat="1" applyFont="1" applyFill="1" applyBorder="1" applyAlignment="1">
      <alignment horizontal="right" vertical="top" wrapText="1"/>
    </xf>
    <xf numFmtId="0" fontId="4" fillId="5" borderId="0" xfId="0" applyFont="1" applyFill="1" applyAlignment="1">
      <alignment horizontal="center" vertical="center"/>
    </xf>
    <xf numFmtId="165" fontId="13" fillId="5" borderId="20" xfId="0" applyNumberFormat="1" applyFont="1" applyFill="1" applyBorder="1" applyAlignment="1">
      <alignment horizontal="right" vertical="top" wrapText="1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6" fillId="0" borderId="31" xfId="0" applyFont="1" applyBorder="1"/>
    <xf numFmtId="0" fontId="6" fillId="0" borderId="32" xfId="0" applyFont="1" applyBorder="1"/>
    <xf numFmtId="4" fontId="5" fillId="0" borderId="33" xfId="0" applyNumberFormat="1" applyFont="1" applyBorder="1" applyAlignment="1">
      <alignment horizontal="center" vertical="center" wrapText="1"/>
    </xf>
    <xf numFmtId="4" fontId="5" fillId="0" borderId="37" xfId="0" applyNumberFormat="1" applyFont="1" applyBorder="1" applyAlignment="1">
      <alignment horizontal="center" vertical="center" wrapText="1"/>
    </xf>
    <xf numFmtId="4" fontId="5" fillId="0" borderId="38" xfId="0" applyNumberFormat="1" applyFont="1" applyBorder="1" applyAlignment="1">
      <alignment horizontal="center" vertical="center" wrapText="1"/>
    </xf>
    <xf numFmtId="49" fontId="6" fillId="3" borderId="14" xfId="0" applyNumberFormat="1" applyFont="1" applyFill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6" fontId="6" fillId="0" borderId="18" xfId="0" applyNumberFormat="1" applyFont="1" applyBorder="1" applyAlignment="1">
      <alignment horizontal="center" vertical="center"/>
    </xf>
    <xf numFmtId="0" fontId="10" fillId="2" borderId="16" xfId="0" applyFont="1" applyFill="1" applyBorder="1" applyAlignment="1">
      <alignment horizontal="left" vertical="top"/>
    </xf>
    <xf numFmtId="0" fontId="10" fillId="2" borderId="16" xfId="0" applyFont="1" applyFill="1" applyBorder="1" applyAlignment="1">
      <alignment vertical="top"/>
    </xf>
    <xf numFmtId="0" fontId="6" fillId="0" borderId="9" xfId="0" applyFont="1" applyBorder="1" applyAlignment="1">
      <alignment horizontal="left" vertical="center" wrapText="1"/>
    </xf>
    <xf numFmtId="0" fontId="10" fillId="2" borderId="11" xfId="0" applyFont="1" applyFill="1" applyBorder="1" applyAlignment="1">
      <alignment vertical="top"/>
    </xf>
    <xf numFmtId="0" fontId="10" fillId="5" borderId="11" xfId="0" applyFont="1" applyFill="1" applyBorder="1" applyAlignment="1">
      <alignment horizontal="left" vertical="top"/>
    </xf>
    <xf numFmtId="0" fontId="6" fillId="0" borderId="16" xfId="0" applyFont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14" fontId="6" fillId="0" borderId="36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14" fontId="6" fillId="0" borderId="45" xfId="0" applyNumberFormat="1" applyFont="1" applyBorder="1" applyAlignment="1">
      <alignment horizontal="center" vertical="center"/>
    </xf>
    <xf numFmtId="166" fontId="10" fillId="2" borderId="11" xfId="0" applyNumberFormat="1" applyFont="1" applyFill="1" applyBorder="1" applyAlignment="1">
      <alignment horizontal="center" vertical="center"/>
    </xf>
    <xf numFmtId="166" fontId="10" fillId="2" borderId="16" xfId="0" applyNumberFormat="1" applyFont="1" applyFill="1" applyBorder="1" applyAlignment="1">
      <alignment horizontal="center" vertical="center"/>
    </xf>
    <xf numFmtId="166" fontId="9" fillId="2" borderId="11" xfId="0" applyNumberFormat="1" applyFont="1" applyFill="1" applyBorder="1" applyAlignment="1">
      <alignment horizontal="center" vertical="center"/>
    </xf>
    <xf numFmtId="166" fontId="9" fillId="2" borderId="16" xfId="0" applyNumberFormat="1" applyFont="1" applyFill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166" fontId="6" fillId="0" borderId="11" xfId="0" applyNumberFormat="1" applyFont="1" applyBorder="1" applyAlignment="1">
      <alignment horizontal="center" vertical="center" wrapText="1"/>
    </xf>
    <xf numFmtId="166" fontId="6" fillId="0" borderId="9" xfId="0" applyNumberFormat="1" applyFont="1" applyBorder="1" applyAlignment="1">
      <alignment horizontal="center" vertical="center" wrapText="1"/>
    </xf>
    <xf numFmtId="166" fontId="6" fillId="0" borderId="7" xfId="0" applyNumberFormat="1" applyFont="1" applyBorder="1" applyAlignment="1">
      <alignment horizontal="center" vertical="center" wrapText="1"/>
    </xf>
    <xf numFmtId="166" fontId="6" fillId="0" borderId="12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166" fontId="9" fillId="0" borderId="11" xfId="0" applyNumberFormat="1" applyFont="1" applyBorder="1" applyAlignment="1">
      <alignment horizontal="center" vertical="center"/>
    </xf>
    <xf numFmtId="165" fontId="17" fillId="0" borderId="11" xfId="0" applyNumberFormat="1" applyFont="1" applyBorder="1" applyAlignment="1">
      <alignment horizontal="right" vertical="top" wrapText="1"/>
    </xf>
    <xf numFmtId="0" fontId="17" fillId="0" borderId="11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top"/>
    </xf>
    <xf numFmtId="0" fontId="20" fillId="0" borderId="11" xfId="0" applyFont="1" applyBorder="1" applyAlignment="1">
      <alignment horizontal="left" vertical="top"/>
    </xf>
    <xf numFmtId="166" fontId="20" fillId="0" borderId="11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10" fillId="0" borderId="16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166" fontId="9" fillId="0" borderId="16" xfId="0" applyNumberFormat="1" applyFont="1" applyBorder="1" applyAlignment="1">
      <alignment horizontal="center" vertical="center"/>
    </xf>
    <xf numFmtId="165" fontId="17" fillId="0" borderId="16" xfId="0" applyNumberFormat="1" applyFont="1" applyBorder="1" applyAlignment="1">
      <alignment horizontal="right" vertical="top" wrapText="1"/>
    </xf>
    <xf numFmtId="0" fontId="17" fillId="0" borderId="16" xfId="0" applyFont="1" applyBorder="1" applyAlignment="1">
      <alignment horizontal="right" vertical="top" wrapText="1"/>
    </xf>
    <xf numFmtId="165" fontId="17" fillId="0" borderId="9" xfId="0" applyNumberFormat="1" applyFont="1" applyBorder="1" applyAlignment="1">
      <alignment horizontal="right" vertical="top" wrapText="1"/>
    </xf>
    <xf numFmtId="0" fontId="17" fillId="0" borderId="9" xfId="0" applyFont="1" applyBorder="1" applyAlignment="1">
      <alignment horizontal="right" vertical="top" wrapText="1"/>
    </xf>
    <xf numFmtId="4" fontId="16" fillId="0" borderId="13" xfId="0" applyNumberFormat="1" applyFont="1" applyBorder="1" applyAlignment="1">
      <alignment horizontal="right" vertical="top" wrapText="1"/>
    </xf>
    <xf numFmtId="0" fontId="16" fillId="0" borderId="13" xfId="0" applyFont="1" applyBorder="1" applyAlignment="1">
      <alignment horizontal="right" vertical="top" wrapText="1"/>
    </xf>
    <xf numFmtId="165" fontId="16" fillId="0" borderId="11" xfId="0" applyNumberFormat="1" applyFont="1" applyBorder="1" applyAlignment="1">
      <alignment horizontal="right" vertical="top" wrapText="1"/>
    </xf>
    <xf numFmtId="0" fontId="16" fillId="0" borderId="11" xfId="0" applyFont="1" applyBorder="1" applyAlignment="1">
      <alignment horizontal="right" vertical="top" wrapText="1"/>
    </xf>
    <xf numFmtId="166" fontId="10" fillId="0" borderId="11" xfId="0" applyNumberFormat="1" applyFont="1" applyBorder="1" applyAlignment="1">
      <alignment horizontal="center" vertical="center"/>
    </xf>
    <xf numFmtId="166" fontId="10" fillId="0" borderId="16" xfId="0" applyNumberFormat="1" applyFont="1" applyBorder="1" applyAlignment="1">
      <alignment horizontal="center" vertical="center"/>
    </xf>
    <xf numFmtId="165" fontId="16" fillId="0" borderId="16" xfId="0" applyNumberFormat="1" applyFont="1" applyBorder="1" applyAlignment="1">
      <alignment horizontal="right" vertical="top" wrapText="1"/>
    </xf>
    <xf numFmtId="0" fontId="16" fillId="0" borderId="16" xfId="0" applyFont="1" applyBorder="1" applyAlignment="1">
      <alignment horizontal="right" vertical="top" wrapText="1"/>
    </xf>
    <xf numFmtId="165" fontId="17" fillId="0" borderId="7" xfId="0" applyNumberFormat="1" applyFont="1" applyBorder="1" applyAlignment="1">
      <alignment horizontal="right" vertical="top" wrapText="1"/>
    </xf>
    <xf numFmtId="0" fontId="17" fillId="0" borderId="7" xfId="0" applyFont="1" applyBorder="1" applyAlignment="1">
      <alignment horizontal="right" vertical="top" wrapText="1"/>
    </xf>
    <xf numFmtId="165" fontId="17" fillId="0" borderId="12" xfId="0" applyNumberFormat="1" applyFont="1" applyBorder="1" applyAlignment="1">
      <alignment horizontal="right" vertical="top" wrapText="1"/>
    </xf>
    <xf numFmtId="0" fontId="17" fillId="0" borderId="12" xfId="0" applyFont="1" applyBorder="1" applyAlignment="1">
      <alignment horizontal="right" vertical="top" wrapText="1"/>
    </xf>
    <xf numFmtId="4" fontId="17" fillId="0" borderId="13" xfId="0" applyNumberFormat="1" applyFont="1" applyBorder="1" applyAlignment="1">
      <alignment horizontal="right" vertical="top" wrapText="1"/>
    </xf>
    <xf numFmtId="0" fontId="17" fillId="0" borderId="13" xfId="0" applyFont="1" applyBorder="1" applyAlignment="1">
      <alignment horizontal="right" vertical="top" wrapText="1"/>
    </xf>
    <xf numFmtId="0" fontId="20" fillId="0" borderId="0" xfId="0" applyFont="1"/>
    <xf numFmtId="166" fontId="19" fillId="0" borderId="11" xfId="0" applyNumberFormat="1" applyFont="1" applyBorder="1" applyAlignment="1">
      <alignment horizontal="center" vertical="center"/>
    </xf>
    <xf numFmtId="2" fontId="16" fillId="0" borderId="13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166" fontId="9" fillId="0" borderId="0" xfId="0" applyNumberFormat="1" applyFont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44" xfId="0" applyNumberFormat="1" applyFont="1" applyBorder="1" applyAlignment="1">
      <alignment horizontal="center" vertical="center"/>
    </xf>
    <xf numFmtId="4" fontId="16" fillId="3" borderId="36" xfId="0" applyNumberFormat="1" applyFont="1" applyFill="1" applyBorder="1" applyAlignment="1">
      <alignment horizontal="right" vertical="top" wrapText="1"/>
    </xf>
    <xf numFmtId="0" fontId="16" fillId="3" borderId="36" xfId="0" applyFont="1" applyFill="1" applyBorder="1" applyAlignment="1">
      <alignment horizontal="right" vertical="top" wrapText="1"/>
    </xf>
    <xf numFmtId="165" fontId="15" fillId="3" borderId="48" xfId="0" applyNumberFormat="1" applyFont="1" applyFill="1" applyBorder="1" applyAlignment="1">
      <alignment horizontal="right" vertical="center" wrapText="1"/>
    </xf>
    <xf numFmtId="4" fontId="15" fillId="3" borderId="7" xfId="0" applyNumberFormat="1" applyFont="1" applyFill="1" applyBorder="1" applyAlignment="1">
      <alignment horizontal="right" vertical="center" wrapText="1"/>
    </xf>
    <xf numFmtId="4" fontId="15" fillId="3" borderId="34" xfId="0" applyNumberFormat="1" applyFont="1" applyFill="1" applyBorder="1" applyAlignment="1">
      <alignment horizontal="right" vertical="center" wrapText="1"/>
    </xf>
    <xf numFmtId="165" fontId="15" fillId="3" borderId="40" xfId="0" applyNumberFormat="1" applyFont="1" applyFill="1" applyBorder="1" applyAlignment="1">
      <alignment horizontal="right" vertical="center" wrapText="1"/>
    </xf>
    <xf numFmtId="0" fontId="0" fillId="0" borderId="11" xfId="0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alignment horizontal="center" vertical="center"/>
      <protection locked="0"/>
    </xf>
    <xf numFmtId="16" fontId="6" fillId="0" borderId="43" xfId="0" applyNumberFormat="1" applyFont="1" applyBorder="1" applyAlignment="1">
      <alignment horizontal="center" vertical="center"/>
    </xf>
    <xf numFmtId="165" fontId="17" fillId="3" borderId="36" xfId="0" applyNumberFormat="1" applyFont="1" applyFill="1" applyBorder="1" applyAlignment="1">
      <alignment horizontal="right" vertical="top" wrapText="1"/>
    </xf>
    <xf numFmtId="0" fontId="17" fillId="3" borderId="36" xfId="0" applyFont="1" applyFill="1" applyBorder="1" applyAlignment="1">
      <alignment horizontal="right" vertical="top" wrapText="1"/>
    </xf>
    <xf numFmtId="0" fontId="17" fillId="3" borderId="34" xfId="0" applyFont="1" applyFill="1" applyBorder="1" applyAlignment="1">
      <alignment horizontal="right" vertical="top" wrapText="1"/>
    </xf>
    <xf numFmtId="0" fontId="0" fillId="0" borderId="0" xfId="0" applyAlignment="1" applyProtection="1">
      <alignment horizontal="center" vertical="center"/>
      <protection locked="0"/>
    </xf>
    <xf numFmtId="14" fontId="6" fillId="0" borderId="0" xfId="0" applyNumberFormat="1" applyFont="1" applyAlignment="1">
      <alignment horizontal="center" vertical="center"/>
    </xf>
    <xf numFmtId="4" fontId="17" fillId="3" borderId="36" xfId="0" applyNumberFormat="1" applyFont="1" applyFill="1" applyBorder="1" applyAlignment="1">
      <alignment horizontal="right" vertical="top" wrapText="1"/>
    </xf>
    <xf numFmtId="4" fontId="5" fillId="0" borderId="48" xfId="0" applyNumberFormat="1" applyFont="1" applyBorder="1" applyAlignment="1">
      <alignment horizontal="center" vertical="center" wrapText="1"/>
    </xf>
    <xf numFmtId="165" fontId="17" fillId="3" borderId="48" xfId="0" applyNumberFormat="1" applyFont="1" applyFill="1" applyBorder="1" applyAlignment="1">
      <alignment horizontal="right" vertical="top" wrapText="1"/>
    </xf>
    <xf numFmtId="0" fontId="17" fillId="3" borderId="40" xfId="0" applyFont="1" applyFill="1" applyBorder="1" applyAlignment="1">
      <alignment horizontal="right" vertical="top" wrapText="1"/>
    </xf>
    <xf numFmtId="0" fontId="4" fillId="0" borderId="52" xfId="0" applyFont="1" applyBorder="1" applyAlignment="1">
      <alignment horizontal="center" vertical="center"/>
    </xf>
    <xf numFmtId="0" fontId="0" fillId="0" borderId="52" xfId="0" applyBorder="1" applyAlignment="1" applyProtection="1">
      <alignment horizontal="center" vertical="center"/>
      <protection locked="0"/>
    </xf>
    <xf numFmtId="0" fontId="6" fillId="0" borderId="52" xfId="0" applyFont="1" applyBorder="1" applyAlignment="1">
      <alignment horizontal="center" vertical="center"/>
    </xf>
    <xf numFmtId="14" fontId="6" fillId="0" borderId="5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right" vertical="top" wrapText="1"/>
    </xf>
    <xf numFmtId="0" fontId="4" fillId="0" borderId="54" xfId="0" applyFont="1" applyBorder="1" applyAlignment="1">
      <alignment horizontal="center" vertical="center"/>
    </xf>
    <xf numFmtId="0" fontId="0" fillId="0" borderId="54" xfId="0" applyBorder="1" applyAlignment="1" applyProtection="1">
      <alignment horizontal="center" vertical="center"/>
      <protection locked="0"/>
    </xf>
    <xf numFmtId="0" fontId="6" fillId="0" borderId="54" xfId="0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0" fontId="0" fillId="0" borderId="45" xfId="0" applyBorder="1" applyAlignment="1" applyProtection="1">
      <alignment horizontal="center" vertical="center"/>
      <protection locked="0"/>
    </xf>
    <xf numFmtId="4" fontId="16" fillId="0" borderId="36" xfId="0" applyNumberFormat="1" applyFont="1" applyBorder="1" applyAlignment="1">
      <alignment horizontal="right" vertical="top" wrapText="1"/>
    </xf>
    <xf numFmtId="0" fontId="16" fillId="0" borderId="36" xfId="0" applyFont="1" applyBorder="1" applyAlignment="1">
      <alignment horizontal="right" vertical="top" wrapText="1"/>
    </xf>
    <xf numFmtId="4" fontId="5" fillId="0" borderId="56" xfId="0" applyNumberFormat="1" applyFont="1" applyBorder="1" applyAlignment="1">
      <alignment horizontal="center" vertical="center" wrapText="1"/>
    </xf>
    <xf numFmtId="165" fontId="17" fillId="0" borderId="56" xfId="0" applyNumberFormat="1" applyFont="1" applyBorder="1" applyAlignment="1">
      <alignment horizontal="right" vertical="top" wrapText="1"/>
    </xf>
    <xf numFmtId="0" fontId="17" fillId="0" borderId="55" xfId="0" applyFont="1" applyBorder="1" applyAlignment="1">
      <alignment horizontal="right" vertical="top" wrapText="1"/>
    </xf>
    <xf numFmtId="2" fontId="16" fillId="0" borderId="36" xfId="0" applyNumberFormat="1" applyFont="1" applyBorder="1" applyAlignment="1">
      <alignment horizontal="right" vertical="top" wrapText="1"/>
    </xf>
    <xf numFmtId="0" fontId="4" fillId="0" borderId="39" xfId="0" applyFont="1" applyBorder="1" applyAlignment="1">
      <alignment horizontal="center" vertical="center"/>
    </xf>
    <xf numFmtId="0" fontId="0" fillId="0" borderId="11" xfId="0" applyBorder="1"/>
    <xf numFmtId="0" fontId="0" fillId="0" borderId="36" xfId="0" applyBorder="1"/>
    <xf numFmtId="0" fontId="21" fillId="0" borderId="58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14" fontId="6" fillId="0" borderId="0" xfId="0" applyNumberFormat="1" applyFont="1"/>
    <xf numFmtId="0" fontId="22" fillId="0" borderId="0" xfId="0" applyFont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center" vertical="center" wrapText="1"/>
    </xf>
    <xf numFmtId="2" fontId="5" fillId="4" borderId="5" xfId="0" applyNumberFormat="1" applyFont="1" applyFill="1" applyBorder="1" applyAlignment="1">
      <alignment horizontal="center" vertical="center" wrapText="1"/>
    </xf>
    <xf numFmtId="4" fontId="5" fillId="4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2" fontId="5" fillId="5" borderId="3" xfId="0" applyNumberFormat="1" applyFont="1" applyFill="1" applyBorder="1" applyAlignment="1">
      <alignment horizontal="center" vertical="center" wrapText="1"/>
    </xf>
    <xf numFmtId="4" fontId="5" fillId="5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 wrapText="1"/>
    </xf>
    <xf numFmtId="2" fontId="5" fillId="6" borderId="3" xfId="0" applyNumberFormat="1" applyFont="1" applyFill="1" applyBorder="1" applyAlignment="1">
      <alignment horizontal="center" vertical="center" wrapText="1"/>
    </xf>
    <xf numFmtId="4" fontId="5" fillId="6" borderId="3" xfId="0" applyNumberFormat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2" fontId="5" fillId="5" borderId="2" xfId="0" applyNumberFormat="1" applyFont="1" applyFill="1" applyBorder="1" applyAlignment="1">
      <alignment horizontal="center" vertical="center" wrapText="1"/>
    </xf>
    <xf numFmtId="4" fontId="5" fillId="5" borderId="2" xfId="0" applyNumberFormat="1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2" fontId="5" fillId="5" borderId="5" xfId="0" applyNumberFormat="1" applyFont="1" applyFill="1" applyBorder="1" applyAlignment="1">
      <alignment horizontal="center" vertical="center" wrapText="1"/>
    </xf>
    <xf numFmtId="4" fontId="5" fillId="5" borderId="5" xfId="0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4" fontId="5" fillId="0" borderId="7" xfId="0" applyNumberFormat="1" applyFont="1" applyBorder="1" applyAlignment="1">
      <alignment horizontal="center" vertical="center" wrapText="1"/>
    </xf>
    <xf numFmtId="4" fontId="5" fillId="0" borderId="3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28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5" fillId="0" borderId="5" xfId="0" applyNumberFormat="1" applyFont="1" applyBorder="1" applyAlignment="1">
      <alignment horizontal="center" vertical="center" wrapText="1"/>
    </xf>
    <xf numFmtId="4" fontId="5" fillId="0" borderId="5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48" xfId="0" applyFont="1" applyBorder="1" applyAlignment="1">
      <alignment vertical="center" wrapText="1"/>
    </xf>
    <xf numFmtId="166" fontId="2" fillId="0" borderId="7" xfId="0" applyNumberFormat="1" applyFont="1" applyBorder="1" applyAlignment="1">
      <alignment horizontal="center" vertical="center" wrapText="1"/>
    </xf>
    <xf numFmtId="166" fontId="2" fillId="0" borderId="4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6" fillId="0" borderId="13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166" fontId="6" fillId="0" borderId="13" xfId="0" applyNumberFormat="1" applyFont="1" applyBorder="1" applyAlignment="1">
      <alignment horizontal="center" vertical="center" wrapText="1"/>
    </xf>
    <xf numFmtId="166" fontId="6" fillId="0" borderId="11" xfId="0" applyNumberFormat="1" applyFont="1" applyBorder="1" applyAlignment="1">
      <alignment horizontal="center" vertical="center" wrapText="1"/>
    </xf>
    <xf numFmtId="4" fontId="6" fillId="0" borderId="13" xfId="0" applyNumberFormat="1" applyFont="1" applyBorder="1" applyAlignment="1">
      <alignment horizontal="center" vertical="center" wrapText="1"/>
    </xf>
    <xf numFmtId="4" fontId="6" fillId="0" borderId="11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/>
    </xf>
    <xf numFmtId="0" fontId="11" fillId="0" borderId="36" xfId="0" applyFont="1" applyBorder="1" applyAlignment="1">
      <alignment horizontal="left" vertical="center" wrapText="1"/>
    </xf>
    <xf numFmtId="0" fontId="6" fillId="0" borderId="36" xfId="0" applyFont="1" applyBorder="1" applyAlignment="1">
      <alignment vertical="center" wrapText="1"/>
    </xf>
    <xf numFmtId="0" fontId="6" fillId="0" borderId="3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4" fontId="5" fillId="0" borderId="36" xfId="0" applyNumberFormat="1" applyFont="1" applyBorder="1" applyAlignment="1">
      <alignment horizontal="center" vertical="center" wrapText="1"/>
    </xf>
    <xf numFmtId="4" fontId="5" fillId="0" borderId="11" xfId="0" applyNumberFormat="1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/>
    </xf>
    <xf numFmtId="0" fontId="11" fillId="0" borderId="41" xfId="0" applyFont="1" applyBorder="1" applyAlignment="1">
      <alignment horizontal="left" vertical="center" wrapText="1"/>
    </xf>
    <xf numFmtId="0" fontId="6" fillId="0" borderId="41" xfId="0" applyFont="1" applyBorder="1" applyAlignment="1">
      <alignment vertical="center" wrapText="1"/>
    </xf>
    <xf numFmtId="166" fontId="6" fillId="0" borderId="41" xfId="0" applyNumberFormat="1" applyFont="1" applyBorder="1" applyAlignment="1">
      <alignment horizontal="center" vertical="center" wrapText="1"/>
    </xf>
    <xf numFmtId="166" fontId="6" fillId="0" borderId="36" xfId="0" applyNumberFormat="1" applyFont="1" applyBorder="1" applyAlignment="1">
      <alignment horizontal="center" vertical="center" wrapText="1"/>
    </xf>
    <xf numFmtId="4" fontId="6" fillId="0" borderId="41" xfId="0" applyNumberFormat="1" applyFont="1" applyBorder="1" applyAlignment="1">
      <alignment horizontal="center" vertical="center" wrapText="1"/>
    </xf>
    <xf numFmtId="4" fontId="6" fillId="0" borderId="36" xfId="0" applyNumberFormat="1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4" fontId="6" fillId="0" borderId="57" xfId="0" applyNumberFormat="1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4" fontId="5" fillId="0" borderId="41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3F2F"/>
      <rgbColor rgb="00993366"/>
      <rgbColor rgb="00A0A0A0"/>
      <rgbColor rgb="00CCFFFF"/>
      <rgbColor rgb="00D6E5CB"/>
      <rgbColor rgb="00ACC8BD"/>
      <rgbColor rgb="00E4F0DD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outlinePr summaryBelow="0" summaryRight="0"/>
    <pageSetUpPr autoPageBreaks="0"/>
  </sheetPr>
  <dimension ref="A1:T489"/>
  <sheetViews>
    <sheetView workbookViewId="0">
      <pane ySplit="7" topLeftCell="A409" activePane="bottomLeft" state="frozen"/>
      <selection pane="bottomLeft" activeCell="F466" sqref="F466:F467"/>
    </sheetView>
  </sheetViews>
  <sheetFormatPr defaultColWidth="10.6640625" defaultRowHeight="11.25" outlineLevelRow="3" x14ac:dyDescent="0.2"/>
  <cols>
    <col min="1" max="1" width="6.6640625" style="22" customWidth="1"/>
    <col min="2" max="2" width="12" style="22" customWidth="1"/>
    <col min="3" max="3" width="85.6640625" style="1" customWidth="1"/>
    <col min="4" max="4" width="17.1640625" style="22" customWidth="1"/>
    <col min="5" max="5" width="12.33203125" style="22" customWidth="1"/>
    <col min="6" max="6" width="19.83203125" style="22" customWidth="1"/>
    <col min="7" max="8" width="18.6640625" style="2" hidden="1" customWidth="1"/>
    <col min="9" max="9" width="17.6640625" style="22" customWidth="1"/>
    <col min="10" max="10" width="15.6640625" style="1" customWidth="1"/>
    <col min="11" max="11" width="38.33203125" style="36" customWidth="1"/>
    <col min="12" max="12" width="11.83203125" style="1" customWidth="1"/>
    <col min="13" max="13" width="10.1640625" style="1" customWidth="1"/>
    <col min="14" max="14" width="11.83203125" style="1" customWidth="1"/>
    <col min="15" max="16384" width="10.6640625" style="1"/>
  </cols>
  <sheetData>
    <row r="1" spans="1:20" ht="12.75" customHeight="1" x14ac:dyDescent="0.2">
      <c r="A1" s="244" t="s">
        <v>444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20" ht="24" customHeight="1" x14ac:dyDescent="0.2">
      <c r="A2" s="244"/>
      <c r="B2" s="244"/>
      <c r="C2" s="244"/>
      <c r="D2" s="244"/>
      <c r="E2" s="244"/>
      <c r="F2" s="244"/>
      <c r="G2" s="244"/>
      <c r="H2" s="244"/>
      <c r="I2" s="244"/>
      <c r="J2" s="244"/>
      <c r="L2" s="293" t="s">
        <v>454</v>
      </c>
      <c r="M2" s="294"/>
      <c r="N2" s="294"/>
      <c r="O2" s="294"/>
      <c r="P2" s="294"/>
      <c r="Q2" s="294"/>
      <c r="R2" s="294"/>
      <c r="S2" s="294"/>
    </row>
    <row r="3" spans="1:20" ht="12.75" customHeight="1" outlineLevel="1" x14ac:dyDescent="0.2">
      <c r="A3" s="280" t="s">
        <v>438</v>
      </c>
      <c r="B3" s="283" t="s">
        <v>439</v>
      </c>
      <c r="C3" s="283" t="s">
        <v>0</v>
      </c>
      <c r="D3" s="283" t="s">
        <v>440</v>
      </c>
      <c r="E3" s="283" t="s">
        <v>445</v>
      </c>
      <c r="F3" s="283" t="s">
        <v>437</v>
      </c>
      <c r="G3" s="4"/>
      <c r="H3" s="4"/>
      <c r="I3" s="283" t="s">
        <v>441</v>
      </c>
      <c r="J3" s="276" t="s">
        <v>442</v>
      </c>
      <c r="K3" s="276" t="s">
        <v>447</v>
      </c>
      <c r="L3" s="43"/>
      <c r="M3" s="53" t="s">
        <v>449</v>
      </c>
    </row>
    <row r="4" spans="1:20" ht="12.75" customHeight="1" outlineLevel="1" x14ac:dyDescent="0.2">
      <c r="A4" s="281"/>
      <c r="B4" s="284"/>
      <c r="C4" s="284"/>
      <c r="D4" s="284"/>
      <c r="E4" s="284"/>
      <c r="F4" s="284"/>
      <c r="G4" s="54"/>
      <c r="H4" s="54"/>
      <c r="I4" s="284"/>
      <c r="J4" s="277"/>
      <c r="K4" s="277"/>
      <c r="L4" s="44"/>
      <c r="M4" s="53" t="s">
        <v>455</v>
      </c>
    </row>
    <row r="5" spans="1:20" ht="12.75" customHeight="1" outlineLevel="1" x14ac:dyDescent="0.2">
      <c r="A5" s="281"/>
      <c r="B5" s="284"/>
      <c r="C5" s="284"/>
      <c r="D5" s="284"/>
      <c r="E5" s="284"/>
      <c r="F5" s="284"/>
      <c r="G5" s="54"/>
      <c r="H5" s="54"/>
      <c r="I5" s="284"/>
      <c r="J5" s="277"/>
      <c r="K5" s="277"/>
      <c r="L5" s="45"/>
      <c r="M5" s="53" t="s">
        <v>469</v>
      </c>
    </row>
    <row r="6" spans="1:20" ht="12.75" customHeight="1" outlineLevel="1" x14ac:dyDescent="0.2">
      <c r="A6" s="281"/>
      <c r="B6" s="284"/>
      <c r="C6" s="284"/>
      <c r="D6" s="284"/>
      <c r="E6" s="284"/>
      <c r="F6" s="284"/>
      <c r="G6" s="54"/>
      <c r="H6" s="54"/>
      <c r="I6" s="284"/>
      <c r="J6" s="277"/>
      <c r="K6" s="277"/>
    </row>
    <row r="7" spans="1:20" ht="18" customHeight="1" outlineLevel="1" x14ac:dyDescent="0.2">
      <c r="A7" s="282"/>
      <c r="B7" s="285"/>
      <c r="C7" s="285"/>
      <c r="D7" s="285"/>
      <c r="E7" s="285" t="s">
        <v>436</v>
      </c>
      <c r="F7" s="285"/>
      <c r="G7" s="26"/>
      <c r="H7" s="26"/>
      <c r="I7" s="285"/>
      <c r="J7" s="278"/>
      <c r="K7" s="278"/>
    </row>
    <row r="8" spans="1:20" ht="12" outlineLevel="2" x14ac:dyDescent="0.2">
      <c r="A8" s="286">
        <v>1</v>
      </c>
      <c r="B8" s="287"/>
      <c r="C8" s="288" t="s">
        <v>1</v>
      </c>
      <c r="D8" s="289" t="s">
        <v>2</v>
      </c>
      <c r="E8" s="290">
        <v>2</v>
      </c>
      <c r="F8" s="291">
        <v>5533.33</v>
      </c>
      <c r="G8" s="47">
        <v>5533.33</v>
      </c>
      <c r="H8" s="48"/>
      <c r="I8" s="287"/>
      <c r="J8" s="287"/>
      <c r="K8" s="279" t="s">
        <v>448</v>
      </c>
      <c r="N8" s="52"/>
      <c r="O8" s="52"/>
      <c r="P8" s="52"/>
      <c r="Q8" s="52"/>
      <c r="R8" s="52"/>
      <c r="T8" s="52"/>
    </row>
    <row r="9" spans="1:20" ht="12" outlineLevel="2" x14ac:dyDescent="0.2">
      <c r="A9" s="259"/>
      <c r="B9" s="260"/>
      <c r="C9" s="261"/>
      <c r="D9" s="262"/>
      <c r="E9" s="263"/>
      <c r="F9" s="264"/>
      <c r="G9" s="35">
        <v>2</v>
      </c>
      <c r="H9" s="34"/>
      <c r="I9" s="260"/>
      <c r="J9" s="260"/>
      <c r="K9" s="273"/>
      <c r="N9" s="52"/>
      <c r="O9" s="52"/>
      <c r="P9" s="52"/>
      <c r="Q9" s="52"/>
      <c r="R9" s="52"/>
      <c r="T9" s="52"/>
    </row>
    <row r="10" spans="1:20" ht="12" outlineLevel="2" x14ac:dyDescent="0.2">
      <c r="A10" s="259">
        <v>2</v>
      </c>
      <c r="B10" s="260"/>
      <c r="C10" s="261" t="s">
        <v>3</v>
      </c>
      <c r="D10" s="262" t="s">
        <v>4</v>
      </c>
      <c r="E10" s="263">
        <v>1</v>
      </c>
      <c r="F10" s="263">
        <v>382.5</v>
      </c>
      <c r="G10" s="49">
        <v>382.5</v>
      </c>
      <c r="H10" s="34"/>
      <c r="I10" s="260"/>
      <c r="J10" s="260"/>
      <c r="K10" s="273" t="s">
        <v>448</v>
      </c>
      <c r="N10" s="52"/>
      <c r="O10" s="52"/>
      <c r="P10" s="52"/>
      <c r="Q10" s="52"/>
      <c r="R10" s="52"/>
      <c r="T10" s="52"/>
    </row>
    <row r="11" spans="1:20" ht="12" outlineLevel="2" x14ac:dyDescent="0.2">
      <c r="A11" s="259"/>
      <c r="B11" s="260"/>
      <c r="C11" s="261"/>
      <c r="D11" s="262"/>
      <c r="E11" s="263"/>
      <c r="F11" s="263"/>
      <c r="G11" s="35">
        <v>1</v>
      </c>
      <c r="H11" s="34"/>
      <c r="I11" s="260"/>
      <c r="J11" s="260"/>
      <c r="K11" s="273"/>
      <c r="L11" s="37"/>
      <c r="N11" s="32"/>
      <c r="O11" s="32"/>
      <c r="P11" s="32"/>
      <c r="Q11" s="32"/>
      <c r="R11" s="32"/>
      <c r="S11" s="32"/>
      <c r="T11" s="32"/>
    </row>
    <row r="12" spans="1:20" ht="12.75" outlineLevel="2" x14ac:dyDescent="0.2">
      <c r="A12" s="247">
        <v>3</v>
      </c>
      <c r="B12" s="245"/>
      <c r="C12" s="250" t="s">
        <v>5</v>
      </c>
      <c r="D12" s="252" t="s">
        <v>6</v>
      </c>
      <c r="E12" s="254">
        <v>1</v>
      </c>
      <c r="F12" s="255">
        <v>17583.330000000002</v>
      </c>
      <c r="G12" s="27">
        <v>17583.330000000002</v>
      </c>
      <c r="H12" s="41">
        <v>8543200000</v>
      </c>
      <c r="I12" s="245">
        <v>8467990001</v>
      </c>
      <c r="J12" s="245"/>
      <c r="K12" s="274"/>
    </row>
    <row r="13" spans="1:20" ht="12" outlineLevel="2" x14ac:dyDescent="0.2">
      <c r="A13" s="247"/>
      <c r="B13" s="245"/>
      <c r="C13" s="250"/>
      <c r="D13" s="252"/>
      <c r="E13" s="254"/>
      <c r="F13" s="255"/>
      <c r="G13" s="29">
        <v>1</v>
      </c>
      <c r="H13" s="42"/>
      <c r="I13" s="245"/>
      <c r="J13" s="245"/>
      <c r="K13" s="274"/>
    </row>
    <row r="14" spans="1:20" ht="12.75" customHeight="1" outlineLevel="2" x14ac:dyDescent="0.2">
      <c r="A14" s="259">
        <v>4</v>
      </c>
      <c r="B14" s="260"/>
      <c r="C14" s="261" t="s">
        <v>7</v>
      </c>
      <c r="D14" s="262" t="s">
        <v>8</v>
      </c>
      <c r="E14" s="263">
        <v>1</v>
      </c>
      <c r="F14" s="264">
        <v>4830</v>
      </c>
      <c r="G14" s="33">
        <v>4830</v>
      </c>
      <c r="H14" s="46"/>
      <c r="I14" s="260"/>
      <c r="J14" s="260"/>
      <c r="K14" s="273" t="s">
        <v>448</v>
      </c>
    </row>
    <row r="15" spans="1:20" ht="12.75" outlineLevel="2" x14ac:dyDescent="0.2">
      <c r="A15" s="259"/>
      <c r="B15" s="260"/>
      <c r="C15" s="261"/>
      <c r="D15" s="262"/>
      <c r="E15" s="263"/>
      <c r="F15" s="264"/>
      <c r="G15" s="35">
        <v>1</v>
      </c>
      <c r="H15" s="46"/>
      <c r="I15" s="260"/>
      <c r="J15" s="260"/>
      <c r="K15" s="273"/>
    </row>
    <row r="16" spans="1:20" ht="12.75" customHeight="1" outlineLevel="2" x14ac:dyDescent="0.2">
      <c r="A16" s="259">
        <v>5</v>
      </c>
      <c r="B16" s="260"/>
      <c r="C16" s="261" t="s">
        <v>9</v>
      </c>
      <c r="D16" s="262" t="s">
        <v>10</v>
      </c>
      <c r="E16" s="263">
        <v>1</v>
      </c>
      <c r="F16" s="264">
        <v>3551.67</v>
      </c>
      <c r="G16" s="33">
        <v>3551.67</v>
      </c>
      <c r="H16" s="46"/>
      <c r="I16" s="260"/>
      <c r="J16" s="260"/>
      <c r="K16" s="273" t="s">
        <v>448</v>
      </c>
    </row>
    <row r="17" spans="1:11" ht="12.75" outlineLevel="2" x14ac:dyDescent="0.2">
      <c r="A17" s="259"/>
      <c r="B17" s="260"/>
      <c r="C17" s="261"/>
      <c r="D17" s="262"/>
      <c r="E17" s="263"/>
      <c r="F17" s="264">
        <v>1</v>
      </c>
      <c r="G17" s="35">
        <v>1</v>
      </c>
      <c r="H17" s="46"/>
      <c r="I17" s="260"/>
      <c r="J17" s="260"/>
      <c r="K17" s="273"/>
    </row>
    <row r="18" spans="1:11" ht="12.75" customHeight="1" outlineLevel="2" x14ac:dyDescent="0.2">
      <c r="A18" s="259">
        <v>6</v>
      </c>
      <c r="B18" s="260"/>
      <c r="C18" s="261" t="s">
        <v>11</v>
      </c>
      <c r="D18" s="262" t="s">
        <v>12</v>
      </c>
      <c r="E18" s="263">
        <v>1</v>
      </c>
      <c r="F18" s="264">
        <v>3954.17</v>
      </c>
      <c r="G18" s="33">
        <v>3954.17</v>
      </c>
      <c r="H18" s="46"/>
      <c r="I18" s="260"/>
      <c r="J18" s="260"/>
      <c r="K18" s="273" t="s">
        <v>448</v>
      </c>
    </row>
    <row r="19" spans="1:11" ht="12" outlineLevel="2" x14ac:dyDescent="0.2">
      <c r="A19" s="259"/>
      <c r="B19" s="260"/>
      <c r="C19" s="261"/>
      <c r="D19" s="262"/>
      <c r="E19" s="263"/>
      <c r="F19" s="264">
        <v>1</v>
      </c>
      <c r="G19" s="35">
        <v>1</v>
      </c>
      <c r="H19" s="34"/>
      <c r="I19" s="260"/>
      <c r="J19" s="260"/>
      <c r="K19" s="273"/>
    </row>
    <row r="20" spans="1:11" ht="12" customHeight="1" outlineLevel="2" x14ac:dyDescent="0.2">
      <c r="A20" s="259">
        <v>7</v>
      </c>
      <c r="B20" s="260"/>
      <c r="C20" s="261" t="s">
        <v>13</v>
      </c>
      <c r="D20" s="262" t="s">
        <v>14</v>
      </c>
      <c r="E20" s="263">
        <v>1</v>
      </c>
      <c r="F20" s="264">
        <v>6745.83</v>
      </c>
      <c r="G20" s="33">
        <v>6745.83</v>
      </c>
      <c r="H20" s="34"/>
      <c r="I20" s="260"/>
      <c r="J20" s="260"/>
      <c r="K20" s="273" t="s">
        <v>448</v>
      </c>
    </row>
    <row r="21" spans="1:11" ht="12" outlineLevel="2" x14ac:dyDescent="0.2">
      <c r="A21" s="259"/>
      <c r="B21" s="260"/>
      <c r="C21" s="261"/>
      <c r="D21" s="262"/>
      <c r="E21" s="263"/>
      <c r="F21" s="264">
        <v>1</v>
      </c>
      <c r="G21" s="35">
        <v>1</v>
      </c>
      <c r="H21" s="34"/>
      <c r="I21" s="260"/>
      <c r="J21" s="260"/>
      <c r="K21" s="273"/>
    </row>
    <row r="22" spans="1:11" ht="12" customHeight="1" outlineLevel="2" x14ac:dyDescent="0.2">
      <c r="A22" s="259">
        <v>8</v>
      </c>
      <c r="B22" s="260"/>
      <c r="C22" s="261" t="s">
        <v>15</v>
      </c>
      <c r="D22" s="262" t="s">
        <v>16</v>
      </c>
      <c r="E22" s="263">
        <v>1</v>
      </c>
      <c r="F22" s="264">
        <v>7754.17</v>
      </c>
      <c r="G22" s="33">
        <v>7754.17</v>
      </c>
      <c r="H22" s="34"/>
      <c r="I22" s="260"/>
      <c r="J22" s="260"/>
      <c r="K22" s="273" t="s">
        <v>448</v>
      </c>
    </row>
    <row r="23" spans="1:11" ht="12" outlineLevel="2" x14ac:dyDescent="0.2">
      <c r="A23" s="259"/>
      <c r="B23" s="260"/>
      <c r="C23" s="261"/>
      <c r="D23" s="262"/>
      <c r="E23" s="263"/>
      <c r="F23" s="264">
        <v>1</v>
      </c>
      <c r="G23" s="35">
        <v>1</v>
      </c>
      <c r="H23" s="34"/>
      <c r="I23" s="260"/>
      <c r="J23" s="260"/>
      <c r="K23" s="273"/>
    </row>
    <row r="24" spans="1:11" ht="12" customHeight="1" outlineLevel="2" x14ac:dyDescent="0.2">
      <c r="A24" s="259">
        <v>9</v>
      </c>
      <c r="B24" s="260"/>
      <c r="C24" s="261" t="s">
        <v>17</v>
      </c>
      <c r="D24" s="262" t="s">
        <v>18</v>
      </c>
      <c r="E24" s="263">
        <v>1</v>
      </c>
      <c r="F24" s="264">
        <v>4956.67</v>
      </c>
      <c r="G24" s="33">
        <v>4956.67</v>
      </c>
      <c r="H24" s="34"/>
      <c r="I24" s="260"/>
      <c r="J24" s="260"/>
      <c r="K24" s="273" t="s">
        <v>448</v>
      </c>
    </row>
    <row r="25" spans="1:11" ht="12" outlineLevel="2" x14ac:dyDescent="0.2">
      <c r="A25" s="259"/>
      <c r="B25" s="260"/>
      <c r="C25" s="261"/>
      <c r="D25" s="262"/>
      <c r="E25" s="263"/>
      <c r="F25" s="264">
        <v>1</v>
      </c>
      <c r="G25" s="35">
        <v>1</v>
      </c>
      <c r="H25" s="34"/>
      <c r="I25" s="260"/>
      <c r="J25" s="260"/>
      <c r="K25" s="273"/>
    </row>
    <row r="26" spans="1:11" ht="12" outlineLevel="2" x14ac:dyDescent="0.2">
      <c r="A26" s="247">
        <v>10</v>
      </c>
      <c r="B26" s="245"/>
      <c r="C26" s="250" t="s">
        <v>19</v>
      </c>
      <c r="D26" s="252" t="s">
        <v>20</v>
      </c>
      <c r="E26" s="254">
        <v>1</v>
      </c>
      <c r="F26" s="255">
        <v>2672.5</v>
      </c>
      <c r="G26" s="27">
        <v>2672.5</v>
      </c>
      <c r="H26" s="28"/>
      <c r="I26" s="245"/>
      <c r="J26" s="245"/>
      <c r="K26" s="274"/>
    </row>
    <row r="27" spans="1:11" ht="12" outlineLevel="2" x14ac:dyDescent="0.2">
      <c r="A27" s="247"/>
      <c r="B27" s="245"/>
      <c r="C27" s="250"/>
      <c r="D27" s="252"/>
      <c r="E27" s="254"/>
      <c r="F27" s="255">
        <v>1</v>
      </c>
      <c r="G27" s="29">
        <v>1</v>
      </c>
      <c r="H27" s="28"/>
      <c r="I27" s="245"/>
      <c r="J27" s="245"/>
      <c r="K27" s="274"/>
    </row>
    <row r="28" spans="1:11" ht="12" outlineLevel="2" x14ac:dyDescent="0.2">
      <c r="A28" s="259">
        <v>11</v>
      </c>
      <c r="B28" s="260"/>
      <c r="C28" s="261" t="s">
        <v>21</v>
      </c>
      <c r="D28" s="262" t="s">
        <v>22</v>
      </c>
      <c r="E28" s="263">
        <v>1</v>
      </c>
      <c r="F28" s="264">
        <v>1032697.27</v>
      </c>
      <c r="G28" s="33">
        <v>1032697.27</v>
      </c>
      <c r="H28" s="34"/>
      <c r="I28" s="260"/>
      <c r="J28" s="260"/>
      <c r="K28" s="275" t="s">
        <v>460</v>
      </c>
    </row>
    <row r="29" spans="1:11" ht="12" outlineLevel="2" x14ac:dyDescent="0.2">
      <c r="A29" s="259"/>
      <c r="B29" s="260"/>
      <c r="C29" s="261"/>
      <c r="D29" s="262"/>
      <c r="E29" s="263"/>
      <c r="F29" s="264">
        <v>1</v>
      </c>
      <c r="G29" s="35">
        <v>1</v>
      </c>
      <c r="H29" s="34"/>
      <c r="I29" s="260"/>
      <c r="J29" s="260"/>
      <c r="K29" s="275"/>
    </row>
    <row r="30" spans="1:11" ht="12" outlineLevel="2" x14ac:dyDescent="0.2">
      <c r="A30" s="259">
        <v>12</v>
      </c>
      <c r="B30" s="260"/>
      <c r="C30" s="261" t="s">
        <v>23</v>
      </c>
      <c r="D30" s="262" t="s">
        <v>24</v>
      </c>
      <c r="E30" s="263">
        <v>2</v>
      </c>
      <c r="F30" s="264">
        <v>4733.33</v>
      </c>
      <c r="G30" s="33">
        <v>4733.33</v>
      </c>
      <c r="H30" s="34"/>
      <c r="I30" s="260"/>
      <c r="J30" s="260"/>
      <c r="K30" s="273" t="s">
        <v>448</v>
      </c>
    </row>
    <row r="31" spans="1:11" ht="12" outlineLevel="2" x14ac:dyDescent="0.2">
      <c r="A31" s="259"/>
      <c r="B31" s="260"/>
      <c r="C31" s="261"/>
      <c r="D31" s="262"/>
      <c r="E31" s="263"/>
      <c r="F31" s="264">
        <v>1</v>
      </c>
      <c r="G31" s="35">
        <v>2</v>
      </c>
      <c r="H31" s="34"/>
      <c r="I31" s="260"/>
      <c r="J31" s="260"/>
      <c r="K31" s="273"/>
    </row>
    <row r="32" spans="1:11" ht="12" outlineLevel="2" x14ac:dyDescent="0.2">
      <c r="A32" s="247">
        <v>13</v>
      </c>
      <c r="B32" s="245"/>
      <c r="C32" s="250" t="s">
        <v>25</v>
      </c>
      <c r="D32" s="252" t="s">
        <v>26</v>
      </c>
      <c r="E32" s="254">
        <v>1</v>
      </c>
      <c r="F32" s="255">
        <v>5697.5</v>
      </c>
      <c r="G32" s="27">
        <v>5697.5</v>
      </c>
      <c r="H32" s="28"/>
      <c r="I32" s="245"/>
      <c r="J32" s="245"/>
      <c r="K32" s="274"/>
    </row>
    <row r="33" spans="1:11" ht="12" outlineLevel="2" x14ac:dyDescent="0.2">
      <c r="A33" s="247"/>
      <c r="B33" s="245"/>
      <c r="C33" s="250"/>
      <c r="D33" s="252"/>
      <c r="E33" s="254"/>
      <c r="F33" s="255">
        <v>1</v>
      </c>
      <c r="G33" s="29">
        <v>1</v>
      </c>
      <c r="H33" s="28"/>
      <c r="I33" s="245"/>
      <c r="J33" s="245"/>
      <c r="K33" s="274"/>
    </row>
    <row r="34" spans="1:11" ht="12" outlineLevel="2" x14ac:dyDescent="0.2">
      <c r="A34" s="259">
        <v>14</v>
      </c>
      <c r="B34" s="260"/>
      <c r="C34" s="261" t="s">
        <v>27</v>
      </c>
      <c r="D34" s="262" t="s">
        <v>28</v>
      </c>
      <c r="E34" s="263">
        <v>2</v>
      </c>
      <c r="F34" s="264">
        <v>1383.33</v>
      </c>
      <c r="G34" s="33">
        <v>1383.33</v>
      </c>
      <c r="H34" s="34"/>
      <c r="I34" s="260"/>
      <c r="J34" s="260"/>
      <c r="K34" s="273" t="s">
        <v>448</v>
      </c>
    </row>
    <row r="35" spans="1:11" ht="12" outlineLevel="2" x14ac:dyDescent="0.2">
      <c r="A35" s="259"/>
      <c r="B35" s="260"/>
      <c r="C35" s="261"/>
      <c r="D35" s="262"/>
      <c r="E35" s="263"/>
      <c r="F35" s="264">
        <v>1</v>
      </c>
      <c r="G35" s="35">
        <v>2</v>
      </c>
      <c r="H35" s="34"/>
      <c r="I35" s="260"/>
      <c r="J35" s="260"/>
      <c r="K35" s="273"/>
    </row>
    <row r="36" spans="1:11" ht="12" outlineLevel="2" x14ac:dyDescent="0.2">
      <c r="A36" s="259">
        <v>15</v>
      </c>
      <c r="B36" s="260"/>
      <c r="C36" s="261" t="s">
        <v>29</v>
      </c>
      <c r="D36" s="262" t="s">
        <v>30</v>
      </c>
      <c r="E36" s="263">
        <v>1</v>
      </c>
      <c r="F36" s="264">
        <v>3791.67</v>
      </c>
      <c r="G36" s="33">
        <v>3791.67</v>
      </c>
      <c r="H36" s="34"/>
      <c r="I36" s="260"/>
      <c r="J36" s="260"/>
      <c r="K36" s="273" t="s">
        <v>448</v>
      </c>
    </row>
    <row r="37" spans="1:11" ht="12" outlineLevel="2" x14ac:dyDescent="0.2">
      <c r="A37" s="259"/>
      <c r="B37" s="260"/>
      <c r="C37" s="261"/>
      <c r="D37" s="262"/>
      <c r="E37" s="263"/>
      <c r="F37" s="264">
        <v>1</v>
      </c>
      <c r="G37" s="35">
        <v>1</v>
      </c>
      <c r="H37" s="34"/>
      <c r="I37" s="260"/>
      <c r="J37" s="260"/>
      <c r="K37" s="273"/>
    </row>
    <row r="38" spans="1:11" ht="12" outlineLevel="2" x14ac:dyDescent="0.2">
      <c r="A38" s="259">
        <v>16</v>
      </c>
      <c r="B38" s="260"/>
      <c r="C38" s="261" t="s">
        <v>31</v>
      </c>
      <c r="D38" s="262" t="s">
        <v>32</v>
      </c>
      <c r="E38" s="263">
        <v>2</v>
      </c>
      <c r="F38" s="264">
        <v>1670</v>
      </c>
      <c r="G38" s="33">
        <v>1670</v>
      </c>
      <c r="H38" s="34"/>
      <c r="I38" s="260"/>
      <c r="J38" s="260"/>
      <c r="K38" s="273" t="s">
        <v>448</v>
      </c>
    </row>
    <row r="39" spans="1:11" ht="12" outlineLevel="2" x14ac:dyDescent="0.2">
      <c r="A39" s="259"/>
      <c r="B39" s="260"/>
      <c r="C39" s="261"/>
      <c r="D39" s="262"/>
      <c r="E39" s="263"/>
      <c r="F39" s="264">
        <v>1</v>
      </c>
      <c r="G39" s="35">
        <v>2</v>
      </c>
      <c r="H39" s="34"/>
      <c r="I39" s="260"/>
      <c r="J39" s="260"/>
      <c r="K39" s="273"/>
    </row>
    <row r="40" spans="1:11" ht="12" outlineLevel="2" x14ac:dyDescent="0.2">
      <c r="A40" s="247">
        <v>17</v>
      </c>
      <c r="B40" s="245"/>
      <c r="C40" s="250" t="s">
        <v>33</v>
      </c>
      <c r="D40" s="252" t="s">
        <v>34</v>
      </c>
      <c r="E40" s="254">
        <v>1</v>
      </c>
      <c r="F40" s="255">
        <v>26317.5</v>
      </c>
      <c r="G40" s="27">
        <v>26317.5</v>
      </c>
      <c r="H40" s="28"/>
      <c r="I40" s="245"/>
      <c r="J40" s="245"/>
      <c r="K40" s="274"/>
    </row>
    <row r="41" spans="1:11" ht="12" outlineLevel="2" x14ac:dyDescent="0.2">
      <c r="A41" s="247"/>
      <c r="B41" s="245"/>
      <c r="C41" s="250"/>
      <c r="D41" s="252"/>
      <c r="E41" s="254"/>
      <c r="F41" s="255">
        <v>1</v>
      </c>
      <c r="G41" s="29">
        <v>1</v>
      </c>
      <c r="H41" s="28"/>
      <c r="I41" s="245"/>
      <c r="J41" s="245"/>
      <c r="K41" s="274"/>
    </row>
    <row r="42" spans="1:11" ht="12" outlineLevel="2" x14ac:dyDescent="0.2">
      <c r="A42" s="247">
        <v>18</v>
      </c>
      <c r="B42" s="245"/>
      <c r="C42" s="250" t="s">
        <v>35</v>
      </c>
      <c r="D42" s="252" t="s">
        <v>36</v>
      </c>
      <c r="E42" s="254">
        <v>1</v>
      </c>
      <c r="F42" s="255">
        <v>1501.67</v>
      </c>
      <c r="G42" s="27">
        <v>1501.67</v>
      </c>
      <c r="H42" s="28"/>
      <c r="I42" s="245"/>
      <c r="J42" s="245"/>
      <c r="K42" s="274"/>
    </row>
    <row r="43" spans="1:11" ht="12" outlineLevel="2" x14ac:dyDescent="0.2">
      <c r="A43" s="247"/>
      <c r="B43" s="245"/>
      <c r="C43" s="250"/>
      <c r="D43" s="252"/>
      <c r="E43" s="254"/>
      <c r="F43" s="255">
        <v>1</v>
      </c>
      <c r="G43" s="29">
        <v>1</v>
      </c>
      <c r="H43" s="28"/>
      <c r="I43" s="245"/>
      <c r="J43" s="245"/>
      <c r="K43" s="274"/>
    </row>
    <row r="44" spans="1:11" ht="12" outlineLevel="2" x14ac:dyDescent="0.2">
      <c r="A44" s="259">
        <v>19</v>
      </c>
      <c r="B44" s="260"/>
      <c r="C44" s="261" t="s">
        <v>37</v>
      </c>
      <c r="D44" s="262" t="s">
        <v>38</v>
      </c>
      <c r="E44" s="263">
        <v>2</v>
      </c>
      <c r="F44" s="264">
        <v>851.67</v>
      </c>
      <c r="G44" s="49">
        <v>851.67</v>
      </c>
      <c r="H44" s="34"/>
      <c r="I44" s="260"/>
      <c r="J44" s="260"/>
      <c r="K44" s="275" t="s">
        <v>459</v>
      </c>
    </row>
    <row r="45" spans="1:11" ht="12" outlineLevel="2" x14ac:dyDescent="0.2">
      <c r="A45" s="259"/>
      <c r="B45" s="260"/>
      <c r="C45" s="261"/>
      <c r="D45" s="262"/>
      <c r="E45" s="263"/>
      <c r="F45" s="264">
        <v>1</v>
      </c>
      <c r="G45" s="35">
        <v>2</v>
      </c>
      <c r="H45" s="34"/>
      <c r="I45" s="260"/>
      <c r="J45" s="260"/>
      <c r="K45" s="275"/>
    </row>
    <row r="46" spans="1:11" ht="12" outlineLevel="2" x14ac:dyDescent="0.2">
      <c r="A46" s="247">
        <v>20</v>
      </c>
      <c r="B46" s="245"/>
      <c r="C46" s="250" t="s">
        <v>39</v>
      </c>
      <c r="D46" s="252" t="s">
        <v>40</v>
      </c>
      <c r="E46" s="254">
        <v>1</v>
      </c>
      <c r="F46" s="255">
        <v>4749.17</v>
      </c>
      <c r="G46" s="27">
        <v>4749.17</v>
      </c>
      <c r="H46" s="28"/>
      <c r="I46" s="245"/>
      <c r="J46" s="245"/>
      <c r="K46" s="274"/>
    </row>
    <row r="47" spans="1:11" ht="12" outlineLevel="2" x14ac:dyDescent="0.2">
      <c r="A47" s="247"/>
      <c r="B47" s="245"/>
      <c r="C47" s="250"/>
      <c r="D47" s="252"/>
      <c r="E47" s="254"/>
      <c r="F47" s="255">
        <v>1</v>
      </c>
      <c r="G47" s="29">
        <v>1</v>
      </c>
      <c r="H47" s="28"/>
      <c r="I47" s="245"/>
      <c r="J47" s="245"/>
      <c r="K47" s="274"/>
    </row>
    <row r="48" spans="1:11" ht="12" outlineLevel="2" x14ac:dyDescent="0.2">
      <c r="A48" s="259">
        <v>21</v>
      </c>
      <c r="B48" s="260"/>
      <c r="C48" s="261" t="s">
        <v>41</v>
      </c>
      <c r="D48" s="262" t="s">
        <v>42</v>
      </c>
      <c r="E48" s="263">
        <v>2</v>
      </c>
      <c r="F48" s="264">
        <v>388.33</v>
      </c>
      <c r="G48" s="49">
        <v>388.33</v>
      </c>
      <c r="H48" s="34"/>
      <c r="I48" s="260"/>
      <c r="J48" s="260"/>
      <c r="K48" s="275" t="s">
        <v>459</v>
      </c>
    </row>
    <row r="49" spans="1:11" ht="12" outlineLevel="2" x14ac:dyDescent="0.2">
      <c r="A49" s="259"/>
      <c r="B49" s="260"/>
      <c r="C49" s="261"/>
      <c r="D49" s="262"/>
      <c r="E49" s="263"/>
      <c r="F49" s="264">
        <v>1</v>
      </c>
      <c r="G49" s="35">
        <v>2</v>
      </c>
      <c r="H49" s="34"/>
      <c r="I49" s="260"/>
      <c r="J49" s="260"/>
      <c r="K49" s="275"/>
    </row>
    <row r="50" spans="1:11" ht="12" outlineLevel="2" x14ac:dyDescent="0.2">
      <c r="A50" s="259">
        <v>22</v>
      </c>
      <c r="B50" s="260"/>
      <c r="C50" s="261" t="s">
        <v>43</v>
      </c>
      <c r="D50" s="262" t="s">
        <v>44</v>
      </c>
      <c r="E50" s="263">
        <v>1</v>
      </c>
      <c r="F50" s="264">
        <v>570.83000000000004</v>
      </c>
      <c r="G50" s="49">
        <v>570.83000000000004</v>
      </c>
      <c r="H50" s="34"/>
      <c r="I50" s="260"/>
      <c r="J50" s="260"/>
      <c r="K50" s="275" t="s">
        <v>459</v>
      </c>
    </row>
    <row r="51" spans="1:11" ht="12" outlineLevel="2" x14ac:dyDescent="0.2">
      <c r="A51" s="259"/>
      <c r="B51" s="260"/>
      <c r="C51" s="261"/>
      <c r="D51" s="262"/>
      <c r="E51" s="263"/>
      <c r="F51" s="264">
        <v>1</v>
      </c>
      <c r="G51" s="35">
        <v>1</v>
      </c>
      <c r="H51" s="34"/>
      <c r="I51" s="260"/>
      <c r="J51" s="260"/>
      <c r="K51" s="275"/>
    </row>
    <row r="52" spans="1:11" ht="12" outlineLevel="2" x14ac:dyDescent="0.2">
      <c r="A52" s="259">
        <v>23</v>
      </c>
      <c r="B52" s="260"/>
      <c r="C52" s="261" t="s">
        <v>45</v>
      </c>
      <c r="D52" s="262" t="s">
        <v>46</v>
      </c>
      <c r="E52" s="263">
        <v>10</v>
      </c>
      <c r="F52" s="264">
        <v>683.33</v>
      </c>
      <c r="G52" s="49">
        <v>683.33</v>
      </c>
      <c r="H52" s="34"/>
      <c r="I52" s="260"/>
      <c r="J52" s="260"/>
      <c r="K52" s="275" t="s">
        <v>459</v>
      </c>
    </row>
    <row r="53" spans="1:11" ht="12" outlineLevel="2" x14ac:dyDescent="0.2">
      <c r="A53" s="259"/>
      <c r="B53" s="260"/>
      <c r="C53" s="261"/>
      <c r="D53" s="262"/>
      <c r="E53" s="263"/>
      <c r="F53" s="264">
        <v>1</v>
      </c>
      <c r="G53" s="35">
        <v>10</v>
      </c>
      <c r="H53" s="34"/>
      <c r="I53" s="260"/>
      <c r="J53" s="260"/>
      <c r="K53" s="275"/>
    </row>
    <row r="54" spans="1:11" ht="12" outlineLevel="2" x14ac:dyDescent="0.2">
      <c r="A54" s="259">
        <v>24</v>
      </c>
      <c r="B54" s="260"/>
      <c r="C54" s="261" t="s">
        <v>47</v>
      </c>
      <c r="D54" s="262" t="s">
        <v>48</v>
      </c>
      <c r="E54" s="263">
        <v>2</v>
      </c>
      <c r="F54" s="264">
        <v>630</v>
      </c>
      <c r="G54" s="49">
        <v>630</v>
      </c>
      <c r="H54" s="34"/>
      <c r="I54" s="260"/>
      <c r="J54" s="260"/>
      <c r="K54" s="275" t="s">
        <v>459</v>
      </c>
    </row>
    <row r="55" spans="1:11" ht="12" outlineLevel="2" x14ac:dyDescent="0.2">
      <c r="A55" s="259"/>
      <c r="B55" s="260"/>
      <c r="C55" s="261"/>
      <c r="D55" s="262"/>
      <c r="E55" s="263"/>
      <c r="F55" s="264">
        <v>1</v>
      </c>
      <c r="G55" s="35">
        <v>2</v>
      </c>
      <c r="H55" s="34"/>
      <c r="I55" s="260"/>
      <c r="J55" s="260"/>
      <c r="K55" s="275"/>
    </row>
    <row r="56" spans="1:11" ht="12" outlineLevel="2" x14ac:dyDescent="0.2">
      <c r="A56" s="247">
        <v>25</v>
      </c>
      <c r="B56" s="245"/>
      <c r="C56" s="250" t="s">
        <v>49</v>
      </c>
      <c r="D56" s="252" t="s">
        <v>50</v>
      </c>
      <c r="E56" s="254">
        <v>1</v>
      </c>
      <c r="F56" s="255">
        <v>169416.67</v>
      </c>
      <c r="G56" s="27">
        <v>169416.67</v>
      </c>
      <c r="H56" s="28"/>
      <c r="I56" s="245">
        <v>8543200000</v>
      </c>
      <c r="J56" s="245"/>
      <c r="K56" s="274"/>
    </row>
    <row r="57" spans="1:11" ht="12" outlineLevel="2" x14ac:dyDescent="0.2">
      <c r="A57" s="247"/>
      <c r="B57" s="245"/>
      <c r="C57" s="250"/>
      <c r="D57" s="252"/>
      <c r="E57" s="254"/>
      <c r="F57" s="255">
        <v>1</v>
      </c>
      <c r="G57" s="29">
        <v>1</v>
      </c>
      <c r="H57" s="28"/>
      <c r="I57" s="245"/>
      <c r="J57" s="245"/>
      <c r="K57" s="274"/>
    </row>
    <row r="58" spans="1:11" ht="12" outlineLevel="2" x14ac:dyDescent="0.2">
      <c r="A58" s="247">
        <v>26</v>
      </c>
      <c r="B58" s="245"/>
      <c r="C58" s="250" t="s">
        <v>51</v>
      </c>
      <c r="D58" s="252" t="s">
        <v>52</v>
      </c>
      <c r="E58" s="254">
        <v>1</v>
      </c>
      <c r="F58" s="255">
        <v>4070</v>
      </c>
      <c r="G58" s="27">
        <v>4070</v>
      </c>
      <c r="H58" s="28"/>
      <c r="I58" s="245"/>
      <c r="J58" s="245"/>
      <c r="K58" s="274"/>
    </row>
    <row r="59" spans="1:11" ht="12" outlineLevel="2" x14ac:dyDescent="0.2">
      <c r="A59" s="247"/>
      <c r="B59" s="245"/>
      <c r="C59" s="250"/>
      <c r="D59" s="252"/>
      <c r="E59" s="254"/>
      <c r="F59" s="255">
        <v>1</v>
      </c>
      <c r="G59" s="29">
        <v>1</v>
      </c>
      <c r="H59" s="28"/>
      <c r="I59" s="245"/>
      <c r="J59" s="245"/>
      <c r="K59" s="274"/>
    </row>
    <row r="60" spans="1:11" ht="12" outlineLevel="2" x14ac:dyDescent="0.2">
      <c r="A60" s="259">
        <v>27</v>
      </c>
      <c r="B60" s="260"/>
      <c r="C60" s="261" t="s">
        <v>53</v>
      </c>
      <c r="D60" s="262" t="s">
        <v>54</v>
      </c>
      <c r="E60" s="263">
        <v>1</v>
      </c>
      <c r="F60" s="264">
        <v>330</v>
      </c>
      <c r="G60" s="49">
        <v>330</v>
      </c>
      <c r="H60" s="34"/>
      <c r="I60" s="260"/>
      <c r="J60" s="260"/>
      <c r="K60" s="275" t="s">
        <v>459</v>
      </c>
    </row>
    <row r="61" spans="1:11" ht="12" outlineLevel="2" x14ac:dyDescent="0.2">
      <c r="A61" s="259"/>
      <c r="B61" s="260"/>
      <c r="C61" s="261"/>
      <c r="D61" s="262"/>
      <c r="E61" s="263"/>
      <c r="F61" s="264">
        <v>1</v>
      </c>
      <c r="G61" s="35">
        <v>1</v>
      </c>
      <c r="H61" s="34"/>
      <c r="I61" s="260"/>
      <c r="J61" s="260"/>
      <c r="K61" s="275"/>
    </row>
    <row r="62" spans="1:11" ht="12" outlineLevel="2" x14ac:dyDescent="0.2">
      <c r="A62" s="247">
        <v>28</v>
      </c>
      <c r="B62" s="245"/>
      <c r="C62" s="250" t="s">
        <v>55</v>
      </c>
      <c r="D62" s="252" t="s">
        <v>56</v>
      </c>
      <c r="E62" s="254">
        <v>1</v>
      </c>
      <c r="F62" s="255">
        <v>2783.33</v>
      </c>
      <c r="G62" s="27">
        <v>2783.33</v>
      </c>
      <c r="H62" s="28"/>
      <c r="I62" s="245"/>
      <c r="J62" s="245"/>
      <c r="K62" s="274"/>
    </row>
    <row r="63" spans="1:11" ht="12" outlineLevel="2" x14ac:dyDescent="0.2">
      <c r="A63" s="247"/>
      <c r="B63" s="245"/>
      <c r="C63" s="250"/>
      <c r="D63" s="252"/>
      <c r="E63" s="254"/>
      <c r="F63" s="255">
        <v>1</v>
      </c>
      <c r="G63" s="29">
        <v>1</v>
      </c>
      <c r="H63" s="28"/>
      <c r="I63" s="245"/>
      <c r="J63" s="245"/>
      <c r="K63" s="274"/>
    </row>
    <row r="64" spans="1:11" ht="12" outlineLevel="2" x14ac:dyDescent="0.2">
      <c r="A64" s="259">
        <v>29</v>
      </c>
      <c r="B64" s="260"/>
      <c r="C64" s="261" t="s">
        <v>57</v>
      </c>
      <c r="D64" s="262" t="s">
        <v>58</v>
      </c>
      <c r="E64" s="263">
        <v>1</v>
      </c>
      <c r="F64" s="264">
        <v>370.83</v>
      </c>
      <c r="G64" s="49">
        <v>370.83</v>
      </c>
      <c r="H64" s="34"/>
      <c r="I64" s="260"/>
      <c r="J64" s="260"/>
      <c r="K64" s="275" t="s">
        <v>459</v>
      </c>
    </row>
    <row r="65" spans="1:11" ht="12" outlineLevel="2" x14ac:dyDescent="0.2">
      <c r="A65" s="259"/>
      <c r="B65" s="260"/>
      <c r="C65" s="261"/>
      <c r="D65" s="262"/>
      <c r="E65" s="263"/>
      <c r="F65" s="264">
        <v>1</v>
      </c>
      <c r="G65" s="35">
        <v>1</v>
      </c>
      <c r="H65" s="34"/>
      <c r="I65" s="260"/>
      <c r="J65" s="260"/>
      <c r="K65" s="275"/>
    </row>
    <row r="66" spans="1:11" ht="12" outlineLevel="2" x14ac:dyDescent="0.2">
      <c r="A66" s="247">
        <v>30</v>
      </c>
      <c r="B66" s="245"/>
      <c r="C66" s="250" t="s">
        <v>59</v>
      </c>
      <c r="D66" s="252" t="s">
        <v>60</v>
      </c>
      <c r="E66" s="254">
        <v>1</v>
      </c>
      <c r="F66" s="255">
        <v>7155</v>
      </c>
      <c r="G66" s="27">
        <v>7155</v>
      </c>
      <c r="H66" s="28"/>
      <c r="I66" s="245"/>
      <c r="J66" s="245"/>
      <c r="K66" s="274"/>
    </row>
    <row r="67" spans="1:11" ht="12" outlineLevel="2" x14ac:dyDescent="0.2">
      <c r="A67" s="247"/>
      <c r="B67" s="245"/>
      <c r="C67" s="250"/>
      <c r="D67" s="252"/>
      <c r="E67" s="254"/>
      <c r="F67" s="255">
        <v>1</v>
      </c>
      <c r="G67" s="29">
        <v>1</v>
      </c>
      <c r="H67" s="28"/>
      <c r="I67" s="245"/>
      <c r="J67" s="245"/>
      <c r="K67" s="274"/>
    </row>
    <row r="68" spans="1:11" ht="12" outlineLevel="2" x14ac:dyDescent="0.2">
      <c r="A68" s="247">
        <v>31</v>
      </c>
      <c r="B68" s="245"/>
      <c r="C68" s="250" t="s">
        <v>61</v>
      </c>
      <c r="D68" s="252" t="s">
        <v>62</v>
      </c>
      <c r="E68" s="254">
        <v>1</v>
      </c>
      <c r="F68" s="255">
        <v>70000</v>
      </c>
      <c r="G68" s="27">
        <v>70000</v>
      </c>
      <c r="H68" s="28"/>
      <c r="I68" s="245">
        <v>9030310000</v>
      </c>
      <c r="J68" s="245"/>
      <c r="K68" s="274"/>
    </row>
    <row r="69" spans="1:11" ht="12" outlineLevel="2" x14ac:dyDescent="0.2">
      <c r="A69" s="247"/>
      <c r="B69" s="245"/>
      <c r="C69" s="250"/>
      <c r="D69" s="252"/>
      <c r="E69" s="254"/>
      <c r="F69" s="255">
        <v>1</v>
      </c>
      <c r="G69" s="29">
        <v>1</v>
      </c>
      <c r="H69" s="28"/>
      <c r="I69" s="245"/>
      <c r="J69" s="245"/>
      <c r="K69" s="274"/>
    </row>
    <row r="70" spans="1:11" ht="12" outlineLevel="2" x14ac:dyDescent="0.2">
      <c r="A70" s="259">
        <v>32</v>
      </c>
      <c r="B70" s="260"/>
      <c r="C70" s="261" t="s">
        <v>63</v>
      </c>
      <c r="D70" s="262" t="s">
        <v>64</v>
      </c>
      <c r="E70" s="263">
        <v>1</v>
      </c>
      <c r="F70" s="264">
        <v>682.5</v>
      </c>
      <c r="G70" s="49">
        <v>682.5</v>
      </c>
      <c r="H70" s="34"/>
      <c r="I70" s="260"/>
      <c r="J70" s="260"/>
      <c r="K70" s="275" t="s">
        <v>459</v>
      </c>
    </row>
    <row r="71" spans="1:11" ht="12" outlineLevel="2" x14ac:dyDescent="0.2">
      <c r="A71" s="259"/>
      <c r="B71" s="260"/>
      <c r="C71" s="261"/>
      <c r="D71" s="262"/>
      <c r="E71" s="263"/>
      <c r="F71" s="264">
        <v>1</v>
      </c>
      <c r="G71" s="35">
        <v>1</v>
      </c>
      <c r="H71" s="34"/>
      <c r="I71" s="260"/>
      <c r="J71" s="260"/>
      <c r="K71" s="275"/>
    </row>
    <row r="72" spans="1:11" ht="12" outlineLevel="2" x14ac:dyDescent="0.2">
      <c r="A72" s="259">
        <v>33</v>
      </c>
      <c r="B72" s="260"/>
      <c r="C72" s="261" t="s">
        <v>65</v>
      </c>
      <c r="D72" s="262" t="s">
        <v>66</v>
      </c>
      <c r="E72" s="263">
        <v>1</v>
      </c>
      <c r="F72" s="264">
        <v>146.66999999999999</v>
      </c>
      <c r="G72" s="49">
        <v>146.66999999999999</v>
      </c>
      <c r="H72" s="34"/>
      <c r="I72" s="260"/>
      <c r="J72" s="260"/>
      <c r="K72" s="275" t="s">
        <v>459</v>
      </c>
    </row>
    <row r="73" spans="1:11" ht="12" outlineLevel="2" x14ac:dyDescent="0.2">
      <c r="A73" s="259"/>
      <c r="B73" s="260"/>
      <c r="C73" s="261"/>
      <c r="D73" s="262"/>
      <c r="E73" s="263"/>
      <c r="F73" s="264">
        <v>1</v>
      </c>
      <c r="G73" s="35">
        <v>1</v>
      </c>
      <c r="H73" s="34"/>
      <c r="I73" s="260"/>
      <c r="J73" s="260"/>
      <c r="K73" s="275"/>
    </row>
    <row r="74" spans="1:11" ht="12" outlineLevel="2" x14ac:dyDescent="0.2">
      <c r="A74" s="259">
        <v>34</v>
      </c>
      <c r="B74" s="260"/>
      <c r="C74" s="261" t="s">
        <v>67</v>
      </c>
      <c r="D74" s="262" t="s">
        <v>68</v>
      </c>
      <c r="E74" s="263">
        <v>1</v>
      </c>
      <c r="F74" s="264">
        <v>2186.67</v>
      </c>
      <c r="G74" s="33">
        <v>2186.67</v>
      </c>
      <c r="H74" s="34"/>
      <c r="I74" s="260"/>
      <c r="J74" s="260"/>
      <c r="K74" s="275" t="s">
        <v>459</v>
      </c>
    </row>
    <row r="75" spans="1:11" ht="12" outlineLevel="2" x14ac:dyDescent="0.2">
      <c r="A75" s="259"/>
      <c r="B75" s="260"/>
      <c r="C75" s="261"/>
      <c r="D75" s="262"/>
      <c r="E75" s="263"/>
      <c r="F75" s="264">
        <v>1</v>
      </c>
      <c r="G75" s="35">
        <v>1</v>
      </c>
      <c r="H75" s="34"/>
      <c r="I75" s="260"/>
      <c r="J75" s="260"/>
      <c r="K75" s="275"/>
    </row>
    <row r="76" spans="1:11" ht="12" customHeight="1" outlineLevel="2" x14ac:dyDescent="0.2">
      <c r="A76" s="259">
        <v>35</v>
      </c>
      <c r="B76" s="260"/>
      <c r="C76" s="261" t="s">
        <v>69</v>
      </c>
      <c r="D76" s="262" t="s">
        <v>70</v>
      </c>
      <c r="E76" s="263">
        <v>4</v>
      </c>
      <c r="F76" s="264">
        <v>380</v>
      </c>
      <c r="G76" s="49">
        <v>380</v>
      </c>
      <c r="H76" s="34"/>
      <c r="I76" s="260"/>
      <c r="J76" s="260"/>
      <c r="K76" s="273" t="s">
        <v>448</v>
      </c>
    </row>
    <row r="77" spans="1:11" ht="12" outlineLevel="2" x14ac:dyDescent="0.2">
      <c r="A77" s="259"/>
      <c r="B77" s="260"/>
      <c r="C77" s="261"/>
      <c r="D77" s="262"/>
      <c r="E77" s="263"/>
      <c r="F77" s="264">
        <v>1</v>
      </c>
      <c r="G77" s="35">
        <v>4</v>
      </c>
      <c r="H77" s="34"/>
      <c r="I77" s="260"/>
      <c r="J77" s="260"/>
      <c r="K77" s="273"/>
    </row>
    <row r="78" spans="1:11" ht="12" customHeight="1" outlineLevel="2" x14ac:dyDescent="0.2">
      <c r="A78" s="259">
        <v>36</v>
      </c>
      <c r="B78" s="260"/>
      <c r="C78" s="261" t="s">
        <v>69</v>
      </c>
      <c r="D78" s="262" t="s">
        <v>71</v>
      </c>
      <c r="E78" s="263">
        <v>6</v>
      </c>
      <c r="F78" s="264">
        <v>495</v>
      </c>
      <c r="G78" s="49">
        <v>495</v>
      </c>
      <c r="H78" s="34"/>
      <c r="I78" s="260"/>
      <c r="J78" s="260"/>
      <c r="K78" s="273" t="s">
        <v>448</v>
      </c>
    </row>
    <row r="79" spans="1:11" ht="12" outlineLevel="2" x14ac:dyDescent="0.2">
      <c r="A79" s="259"/>
      <c r="B79" s="260"/>
      <c r="C79" s="261"/>
      <c r="D79" s="262"/>
      <c r="E79" s="263"/>
      <c r="F79" s="264">
        <v>1</v>
      </c>
      <c r="G79" s="35">
        <v>6</v>
      </c>
      <c r="H79" s="34"/>
      <c r="I79" s="260"/>
      <c r="J79" s="260"/>
      <c r="K79" s="273"/>
    </row>
    <row r="80" spans="1:11" ht="12" customHeight="1" outlineLevel="2" x14ac:dyDescent="0.2">
      <c r="A80" s="259">
        <v>37</v>
      </c>
      <c r="B80" s="260"/>
      <c r="C80" s="261" t="s">
        <v>72</v>
      </c>
      <c r="D80" s="262" t="s">
        <v>73</v>
      </c>
      <c r="E80" s="263">
        <v>2</v>
      </c>
      <c r="F80" s="264">
        <v>2781.67</v>
      </c>
      <c r="G80" s="33">
        <v>2781.67</v>
      </c>
      <c r="H80" s="34"/>
      <c r="I80" s="260"/>
      <c r="J80" s="260"/>
      <c r="K80" s="273" t="s">
        <v>448</v>
      </c>
    </row>
    <row r="81" spans="1:11" ht="12" outlineLevel="2" x14ac:dyDescent="0.2">
      <c r="A81" s="259"/>
      <c r="B81" s="260"/>
      <c r="C81" s="261"/>
      <c r="D81" s="262"/>
      <c r="E81" s="263"/>
      <c r="F81" s="264">
        <v>1</v>
      </c>
      <c r="G81" s="35">
        <v>2</v>
      </c>
      <c r="H81" s="34"/>
      <c r="I81" s="260"/>
      <c r="J81" s="260"/>
      <c r="K81" s="273"/>
    </row>
    <row r="82" spans="1:11" ht="12" customHeight="1" outlineLevel="2" x14ac:dyDescent="0.2">
      <c r="A82" s="259">
        <v>38</v>
      </c>
      <c r="B82" s="260"/>
      <c r="C82" s="261" t="s">
        <v>74</v>
      </c>
      <c r="D82" s="262" t="s">
        <v>75</v>
      </c>
      <c r="E82" s="263">
        <v>1</v>
      </c>
      <c r="F82" s="264">
        <v>1210.83</v>
      </c>
      <c r="G82" s="33">
        <v>1210.83</v>
      </c>
      <c r="H82" s="34"/>
      <c r="I82" s="260"/>
      <c r="J82" s="260"/>
      <c r="K82" s="273" t="s">
        <v>448</v>
      </c>
    </row>
    <row r="83" spans="1:11" ht="12" outlineLevel="2" x14ac:dyDescent="0.2">
      <c r="A83" s="259"/>
      <c r="B83" s="260"/>
      <c r="C83" s="261"/>
      <c r="D83" s="262"/>
      <c r="E83" s="263"/>
      <c r="F83" s="264">
        <v>1</v>
      </c>
      <c r="G83" s="35">
        <v>1</v>
      </c>
      <c r="H83" s="34"/>
      <c r="I83" s="260"/>
      <c r="J83" s="260"/>
      <c r="K83" s="273"/>
    </row>
    <row r="84" spans="1:11" ht="12" customHeight="1" outlineLevel="2" x14ac:dyDescent="0.2">
      <c r="A84" s="259">
        <v>39</v>
      </c>
      <c r="B84" s="260"/>
      <c r="C84" s="261" t="s">
        <v>76</v>
      </c>
      <c r="D84" s="262" t="s">
        <v>77</v>
      </c>
      <c r="E84" s="263">
        <v>1</v>
      </c>
      <c r="F84" s="264">
        <v>145.83000000000001</v>
      </c>
      <c r="G84" s="49">
        <v>145.83000000000001</v>
      </c>
      <c r="H84" s="34"/>
      <c r="I84" s="260"/>
      <c r="J84" s="260"/>
      <c r="K84" s="273" t="s">
        <v>448</v>
      </c>
    </row>
    <row r="85" spans="1:11" ht="12" outlineLevel="2" x14ac:dyDescent="0.2">
      <c r="A85" s="259"/>
      <c r="B85" s="260"/>
      <c r="C85" s="261"/>
      <c r="D85" s="262"/>
      <c r="E85" s="263"/>
      <c r="F85" s="264">
        <v>1</v>
      </c>
      <c r="G85" s="35">
        <v>1</v>
      </c>
      <c r="H85" s="34"/>
      <c r="I85" s="260"/>
      <c r="J85" s="260"/>
      <c r="K85" s="273"/>
    </row>
    <row r="86" spans="1:11" ht="12" outlineLevel="2" x14ac:dyDescent="0.2">
      <c r="A86" s="247">
        <v>40</v>
      </c>
      <c r="B86" s="245"/>
      <c r="C86" s="250" t="s">
        <v>78</v>
      </c>
      <c r="D86" s="252" t="s">
        <v>79</v>
      </c>
      <c r="E86" s="254">
        <v>1</v>
      </c>
      <c r="F86" s="255">
        <v>7035.83</v>
      </c>
      <c r="G86" s="27">
        <v>7035.83</v>
      </c>
      <c r="H86" s="28"/>
      <c r="I86" s="245"/>
      <c r="J86" s="245"/>
      <c r="K86" s="274"/>
    </row>
    <row r="87" spans="1:11" ht="12" outlineLevel="2" x14ac:dyDescent="0.2">
      <c r="A87" s="247"/>
      <c r="B87" s="245"/>
      <c r="C87" s="250"/>
      <c r="D87" s="252"/>
      <c r="E87" s="254"/>
      <c r="F87" s="255">
        <v>1</v>
      </c>
      <c r="G87" s="29">
        <v>1</v>
      </c>
      <c r="H87" s="28"/>
      <c r="I87" s="245"/>
      <c r="J87" s="245"/>
      <c r="K87" s="274"/>
    </row>
    <row r="88" spans="1:11" ht="12" customHeight="1" outlineLevel="2" x14ac:dyDescent="0.2">
      <c r="A88" s="259">
        <v>41</v>
      </c>
      <c r="B88" s="260"/>
      <c r="C88" s="261" t="s">
        <v>80</v>
      </c>
      <c r="D88" s="262" t="s">
        <v>81</v>
      </c>
      <c r="E88" s="263">
        <v>6</v>
      </c>
      <c r="F88" s="264">
        <v>2630</v>
      </c>
      <c r="G88" s="33">
        <v>2630</v>
      </c>
      <c r="H88" s="34"/>
      <c r="I88" s="260"/>
      <c r="J88" s="260"/>
      <c r="K88" s="273" t="s">
        <v>448</v>
      </c>
    </row>
    <row r="89" spans="1:11" ht="12" outlineLevel="2" x14ac:dyDescent="0.2">
      <c r="A89" s="259"/>
      <c r="B89" s="260"/>
      <c r="C89" s="261"/>
      <c r="D89" s="262"/>
      <c r="E89" s="263"/>
      <c r="F89" s="264">
        <v>6</v>
      </c>
      <c r="G89" s="35">
        <v>6</v>
      </c>
      <c r="H89" s="34"/>
      <c r="I89" s="260"/>
      <c r="J89" s="260"/>
      <c r="K89" s="273"/>
    </row>
    <row r="90" spans="1:11" ht="12" customHeight="1" outlineLevel="2" x14ac:dyDescent="0.2">
      <c r="A90" s="259">
        <v>42</v>
      </c>
      <c r="B90" s="260"/>
      <c r="C90" s="261" t="s">
        <v>82</v>
      </c>
      <c r="D90" s="262" t="s">
        <v>83</v>
      </c>
      <c r="E90" s="263">
        <v>2</v>
      </c>
      <c r="F90" s="264">
        <v>730</v>
      </c>
      <c r="G90" s="49">
        <v>730</v>
      </c>
      <c r="H90" s="34"/>
      <c r="I90" s="260"/>
      <c r="J90" s="260"/>
      <c r="K90" s="273" t="s">
        <v>448</v>
      </c>
    </row>
    <row r="91" spans="1:11" ht="12" outlineLevel="2" x14ac:dyDescent="0.2">
      <c r="A91" s="259"/>
      <c r="B91" s="260"/>
      <c r="C91" s="261"/>
      <c r="D91" s="262"/>
      <c r="E91" s="263"/>
      <c r="F91" s="264">
        <v>2</v>
      </c>
      <c r="G91" s="35">
        <v>2</v>
      </c>
      <c r="H91" s="34"/>
      <c r="I91" s="260"/>
      <c r="J91" s="260"/>
      <c r="K91" s="273"/>
    </row>
    <row r="92" spans="1:11" ht="12" customHeight="1" outlineLevel="2" x14ac:dyDescent="0.2">
      <c r="A92" s="259">
        <v>43</v>
      </c>
      <c r="B92" s="260"/>
      <c r="C92" s="261" t="s">
        <v>84</v>
      </c>
      <c r="D92" s="262" t="s">
        <v>85</v>
      </c>
      <c r="E92" s="263">
        <v>1</v>
      </c>
      <c r="F92" s="264">
        <v>2890</v>
      </c>
      <c r="G92" s="33">
        <v>2890</v>
      </c>
      <c r="H92" s="34"/>
      <c r="I92" s="260"/>
      <c r="J92" s="260"/>
      <c r="K92" s="273" t="s">
        <v>448</v>
      </c>
    </row>
    <row r="93" spans="1:11" ht="12" outlineLevel="2" x14ac:dyDescent="0.2">
      <c r="A93" s="259"/>
      <c r="B93" s="260"/>
      <c r="C93" s="261"/>
      <c r="D93" s="262"/>
      <c r="E93" s="263"/>
      <c r="F93" s="264">
        <v>1</v>
      </c>
      <c r="G93" s="35">
        <v>1</v>
      </c>
      <c r="H93" s="34"/>
      <c r="I93" s="260"/>
      <c r="J93" s="260"/>
      <c r="K93" s="273"/>
    </row>
    <row r="94" spans="1:11" ht="12" customHeight="1" outlineLevel="2" x14ac:dyDescent="0.2">
      <c r="A94" s="259">
        <v>44</v>
      </c>
      <c r="B94" s="260"/>
      <c r="C94" s="261" t="s">
        <v>86</v>
      </c>
      <c r="D94" s="262" t="s">
        <v>87</v>
      </c>
      <c r="E94" s="263">
        <v>1</v>
      </c>
      <c r="F94" s="264">
        <v>685</v>
      </c>
      <c r="G94" s="49">
        <v>685</v>
      </c>
      <c r="H94" s="34"/>
      <c r="I94" s="260"/>
      <c r="J94" s="260"/>
      <c r="K94" s="273" t="s">
        <v>448</v>
      </c>
    </row>
    <row r="95" spans="1:11" ht="12" outlineLevel="2" x14ac:dyDescent="0.2">
      <c r="A95" s="259"/>
      <c r="B95" s="260"/>
      <c r="C95" s="261"/>
      <c r="D95" s="262"/>
      <c r="E95" s="263"/>
      <c r="F95" s="264">
        <v>1</v>
      </c>
      <c r="G95" s="35">
        <v>1</v>
      </c>
      <c r="H95" s="34"/>
      <c r="I95" s="260"/>
      <c r="J95" s="260"/>
      <c r="K95" s="273"/>
    </row>
    <row r="96" spans="1:11" ht="12" outlineLevel="2" x14ac:dyDescent="0.2">
      <c r="A96" s="247">
        <v>45</v>
      </c>
      <c r="B96" s="245"/>
      <c r="C96" s="250" t="s">
        <v>88</v>
      </c>
      <c r="D96" s="252" t="s">
        <v>89</v>
      </c>
      <c r="E96" s="254">
        <v>2</v>
      </c>
      <c r="F96" s="255">
        <v>27475</v>
      </c>
      <c r="G96" s="27">
        <v>27475</v>
      </c>
      <c r="H96" s="28"/>
      <c r="I96" s="245">
        <v>9403700008</v>
      </c>
      <c r="J96" s="245"/>
      <c r="K96" s="274"/>
    </row>
    <row r="97" spans="1:11" ht="12" outlineLevel="2" x14ac:dyDescent="0.2">
      <c r="A97" s="247"/>
      <c r="B97" s="245"/>
      <c r="C97" s="250"/>
      <c r="D97" s="252"/>
      <c r="E97" s="254"/>
      <c r="F97" s="255">
        <v>2</v>
      </c>
      <c r="G97" s="29">
        <v>2</v>
      </c>
      <c r="H97" s="28"/>
      <c r="I97" s="245"/>
      <c r="J97" s="245"/>
      <c r="K97" s="274"/>
    </row>
    <row r="98" spans="1:11" ht="12" customHeight="1" outlineLevel="2" x14ac:dyDescent="0.2">
      <c r="A98" s="259">
        <v>46</v>
      </c>
      <c r="B98" s="260"/>
      <c r="C98" s="261" t="s">
        <v>90</v>
      </c>
      <c r="D98" s="262" t="s">
        <v>91</v>
      </c>
      <c r="E98" s="263">
        <v>1</v>
      </c>
      <c r="F98" s="264">
        <v>3291.67</v>
      </c>
      <c r="G98" s="33">
        <v>3291.67</v>
      </c>
      <c r="H98" s="34"/>
      <c r="I98" s="260"/>
      <c r="J98" s="260"/>
      <c r="K98" s="273" t="s">
        <v>448</v>
      </c>
    </row>
    <row r="99" spans="1:11" ht="12" outlineLevel="2" x14ac:dyDescent="0.2">
      <c r="A99" s="259"/>
      <c r="B99" s="260"/>
      <c r="C99" s="261"/>
      <c r="D99" s="262"/>
      <c r="E99" s="263"/>
      <c r="F99" s="264">
        <v>1</v>
      </c>
      <c r="G99" s="35">
        <v>1</v>
      </c>
      <c r="H99" s="34"/>
      <c r="I99" s="260"/>
      <c r="J99" s="260"/>
      <c r="K99" s="273"/>
    </row>
    <row r="100" spans="1:11" ht="12" customHeight="1" outlineLevel="2" x14ac:dyDescent="0.2">
      <c r="A100" s="259">
        <v>47</v>
      </c>
      <c r="B100" s="260"/>
      <c r="C100" s="261" t="s">
        <v>92</v>
      </c>
      <c r="D100" s="262" t="s">
        <v>93</v>
      </c>
      <c r="E100" s="263">
        <v>2</v>
      </c>
      <c r="F100" s="264">
        <v>4660</v>
      </c>
      <c r="G100" s="33">
        <v>4660</v>
      </c>
      <c r="H100" s="34"/>
      <c r="I100" s="260"/>
      <c r="J100" s="260"/>
      <c r="K100" s="273" t="s">
        <v>448</v>
      </c>
    </row>
    <row r="101" spans="1:11" ht="12" outlineLevel="2" x14ac:dyDescent="0.2">
      <c r="A101" s="259"/>
      <c r="B101" s="260"/>
      <c r="C101" s="261"/>
      <c r="D101" s="262"/>
      <c r="E101" s="263"/>
      <c r="F101" s="264">
        <v>2</v>
      </c>
      <c r="G101" s="35">
        <v>2</v>
      </c>
      <c r="H101" s="34"/>
      <c r="I101" s="260"/>
      <c r="J101" s="260"/>
      <c r="K101" s="273"/>
    </row>
    <row r="102" spans="1:11" ht="12" customHeight="1" outlineLevel="2" x14ac:dyDescent="0.2">
      <c r="A102" s="259">
        <v>48</v>
      </c>
      <c r="B102" s="260"/>
      <c r="C102" s="261" t="s">
        <v>94</v>
      </c>
      <c r="D102" s="262" t="s">
        <v>95</v>
      </c>
      <c r="E102" s="263">
        <v>1</v>
      </c>
      <c r="F102" s="264">
        <v>4645.83</v>
      </c>
      <c r="G102" s="33">
        <v>4645.83</v>
      </c>
      <c r="H102" s="34"/>
      <c r="I102" s="260"/>
      <c r="J102" s="260"/>
      <c r="K102" s="273" t="s">
        <v>448</v>
      </c>
    </row>
    <row r="103" spans="1:11" ht="12" outlineLevel="2" x14ac:dyDescent="0.2">
      <c r="A103" s="259"/>
      <c r="B103" s="260"/>
      <c r="C103" s="261"/>
      <c r="D103" s="262"/>
      <c r="E103" s="263"/>
      <c r="F103" s="264">
        <v>1</v>
      </c>
      <c r="G103" s="35">
        <v>1</v>
      </c>
      <c r="H103" s="34"/>
      <c r="I103" s="260"/>
      <c r="J103" s="260"/>
      <c r="K103" s="273"/>
    </row>
    <row r="104" spans="1:11" ht="12" customHeight="1" outlineLevel="2" x14ac:dyDescent="0.2">
      <c r="A104" s="259">
        <v>49</v>
      </c>
      <c r="B104" s="260"/>
      <c r="C104" s="261" t="s">
        <v>96</v>
      </c>
      <c r="D104" s="262" t="s">
        <v>97</v>
      </c>
      <c r="E104" s="263">
        <v>1</v>
      </c>
      <c r="F104" s="264">
        <v>2274.17</v>
      </c>
      <c r="G104" s="33">
        <v>2274.17</v>
      </c>
      <c r="H104" s="34"/>
      <c r="I104" s="260"/>
      <c r="J104" s="260"/>
      <c r="K104" s="273" t="s">
        <v>448</v>
      </c>
    </row>
    <row r="105" spans="1:11" ht="12" outlineLevel="2" x14ac:dyDescent="0.2">
      <c r="A105" s="259"/>
      <c r="B105" s="260"/>
      <c r="C105" s="261"/>
      <c r="D105" s="262"/>
      <c r="E105" s="263"/>
      <c r="F105" s="264">
        <v>1</v>
      </c>
      <c r="G105" s="35">
        <v>1</v>
      </c>
      <c r="H105" s="34"/>
      <c r="I105" s="260"/>
      <c r="J105" s="260"/>
      <c r="K105" s="273"/>
    </row>
    <row r="106" spans="1:11" ht="12" customHeight="1" outlineLevel="2" x14ac:dyDescent="0.2">
      <c r="A106" s="259">
        <v>50</v>
      </c>
      <c r="B106" s="260"/>
      <c r="C106" s="261" t="s">
        <v>98</v>
      </c>
      <c r="D106" s="262" t="s">
        <v>99</v>
      </c>
      <c r="E106" s="263">
        <v>1</v>
      </c>
      <c r="F106" s="264">
        <v>2534.17</v>
      </c>
      <c r="G106" s="33">
        <v>2534.17</v>
      </c>
      <c r="H106" s="34"/>
      <c r="I106" s="260"/>
      <c r="J106" s="260"/>
      <c r="K106" s="273" t="s">
        <v>448</v>
      </c>
    </row>
    <row r="107" spans="1:11" ht="12" outlineLevel="2" x14ac:dyDescent="0.2">
      <c r="A107" s="259"/>
      <c r="B107" s="260"/>
      <c r="C107" s="261"/>
      <c r="D107" s="262"/>
      <c r="E107" s="263"/>
      <c r="F107" s="264">
        <v>1</v>
      </c>
      <c r="G107" s="35">
        <v>1</v>
      </c>
      <c r="H107" s="34"/>
      <c r="I107" s="260"/>
      <c r="J107" s="260"/>
      <c r="K107" s="273"/>
    </row>
    <row r="108" spans="1:11" ht="12" outlineLevel="2" x14ac:dyDescent="0.2">
      <c r="A108" s="247">
        <v>51</v>
      </c>
      <c r="B108" s="245"/>
      <c r="C108" s="250" t="s">
        <v>100</v>
      </c>
      <c r="D108" s="252" t="s">
        <v>101</v>
      </c>
      <c r="E108" s="254">
        <v>1</v>
      </c>
      <c r="F108" s="255">
        <v>2892.5</v>
      </c>
      <c r="G108" s="27">
        <v>2892.5</v>
      </c>
      <c r="H108" s="28"/>
      <c r="I108" s="245"/>
      <c r="J108" s="245"/>
      <c r="K108" s="274"/>
    </row>
    <row r="109" spans="1:11" ht="12" outlineLevel="2" x14ac:dyDescent="0.2">
      <c r="A109" s="247"/>
      <c r="B109" s="245"/>
      <c r="C109" s="250"/>
      <c r="D109" s="252"/>
      <c r="E109" s="254"/>
      <c r="F109" s="255">
        <v>1</v>
      </c>
      <c r="G109" s="29">
        <v>1</v>
      </c>
      <c r="H109" s="28"/>
      <c r="I109" s="245"/>
      <c r="J109" s="245"/>
      <c r="K109" s="274"/>
    </row>
    <row r="110" spans="1:11" ht="12" customHeight="1" outlineLevel="2" x14ac:dyDescent="0.2">
      <c r="A110" s="259">
        <v>52</v>
      </c>
      <c r="B110" s="260"/>
      <c r="C110" s="261" t="s">
        <v>102</v>
      </c>
      <c r="D110" s="262" t="s">
        <v>103</v>
      </c>
      <c r="E110" s="263">
        <v>4</v>
      </c>
      <c r="F110" s="264">
        <v>473.33</v>
      </c>
      <c r="G110" s="49">
        <v>473.33</v>
      </c>
      <c r="H110" s="34"/>
      <c r="I110" s="260"/>
      <c r="J110" s="260"/>
      <c r="K110" s="275" t="s">
        <v>459</v>
      </c>
    </row>
    <row r="111" spans="1:11" ht="12" outlineLevel="2" x14ac:dyDescent="0.2">
      <c r="A111" s="259"/>
      <c r="B111" s="260"/>
      <c r="C111" s="261"/>
      <c r="D111" s="262"/>
      <c r="E111" s="263"/>
      <c r="F111" s="264">
        <v>4</v>
      </c>
      <c r="G111" s="35">
        <v>4</v>
      </c>
      <c r="H111" s="34"/>
      <c r="I111" s="260"/>
      <c r="J111" s="260"/>
      <c r="K111" s="275"/>
    </row>
    <row r="112" spans="1:11" ht="12" outlineLevel="2" x14ac:dyDescent="0.2">
      <c r="A112" s="259">
        <v>53</v>
      </c>
      <c r="B112" s="260"/>
      <c r="C112" s="261" t="s">
        <v>104</v>
      </c>
      <c r="D112" s="262" t="s">
        <v>105</v>
      </c>
      <c r="E112" s="263">
        <v>1</v>
      </c>
      <c r="F112" s="264">
        <v>355</v>
      </c>
      <c r="G112" s="49">
        <v>355</v>
      </c>
      <c r="H112" s="34"/>
      <c r="I112" s="260"/>
      <c r="J112" s="260"/>
      <c r="K112" s="275" t="s">
        <v>459</v>
      </c>
    </row>
    <row r="113" spans="1:11" ht="12" outlineLevel="2" x14ac:dyDescent="0.2">
      <c r="A113" s="259"/>
      <c r="B113" s="260"/>
      <c r="C113" s="261"/>
      <c r="D113" s="262"/>
      <c r="E113" s="263"/>
      <c r="F113" s="264">
        <v>1</v>
      </c>
      <c r="G113" s="35">
        <v>1</v>
      </c>
      <c r="H113" s="34"/>
      <c r="I113" s="260"/>
      <c r="J113" s="260"/>
      <c r="K113" s="275"/>
    </row>
    <row r="114" spans="1:11" ht="12" customHeight="1" outlineLevel="2" x14ac:dyDescent="0.2">
      <c r="A114" s="259">
        <v>54</v>
      </c>
      <c r="B114" s="260"/>
      <c r="C114" s="261" t="s">
        <v>106</v>
      </c>
      <c r="D114" s="262" t="s">
        <v>107</v>
      </c>
      <c r="E114" s="263">
        <v>10</v>
      </c>
      <c r="F114" s="264">
        <v>625</v>
      </c>
      <c r="G114" s="49">
        <v>625</v>
      </c>
      <c r="H114" s="34"/>
      <c r="I114" s="260"/>
      <c r="J114" s="260"/>
      <c r="K114" s="275" t="s">
        <v>459</v>
      </c>
    </row>
    <row r="115" spans="1:11" ht="12" outlineLevel="2" x14ac:dyDescent="0.2">
      <c r="A115" s="259"/>
      <c r="B115" s="260"/>
      <c r="C115" s="261"/>
      <c r="D115" s="262"/>
      <c r="E115" s="263"/>
      <c r="F115" s="264">
        <v>10</v>
      </c>
      <c r="G115" s="35">
        <v>10</v>
      </c>
      <c r="H115" s="34"/>
      <c r="I115" s="260"/>
      <c r="J115" s="260"/>
      <c r="K115" s="275"/>
    </row>
    <row r="116" spans="1:11" ht="12" customHeight="1" outlineLevel="2" x14ac:dyDescent="0.2">
      <c r="A116" s="259">
        <v>55</v>
      </c>
      <c r="B116" s="260"/>
      <c r="C116" s="261" t="s">
        <v>108</v>
      </c>
      <c r="D116" s="262" t="s">
        <v>109</v>
      </c>
      <c r="E116" s="263">
        <v>10</v>
      </c>
      <c r="F116" s="264">
        <v>491.67</v>
      </c>
      <c r="G116" s="49">
        <v>491.67</v>
      </c>
      <c r="H116" s="34"/>
      <c r="I116" s="260"/>
      <c r="J116" s="260"/>
      <c r="K116" s="275" t="s">
        <v>459</v>
      </c>
    </row>
    <row r="117" spans="1:11" ht="12" outlineLevel="2" x14ac:dyDescent="0.2">
      <c r="A117" s="259"/>
      <c r="B117" s="260"/>
      <c r="C117" s="261"/>
      <c r="D117" s="262"/>
      <c r="E117" s="263"/>
      <c r="F117" s="264">
        <v>10</v>
      </c>
      <c r="G117" s="35">
        <v>10</v>
      </c>
      <c r="H117" s="34"/>
      <c r="I117" s="260"/>
      <c r="J117" s="260"/>
      <c r="K117" s="275"/>
    </row>
    <row r="118" spans="1:11" ht="12" customHeight="1" outlineLevel="2" x14ac:dyDescent="0.2">
      <c r="A118" s="259">
        <v>56</v>
      </c>
      <c r="B118" s="260"/>
      <c r="C118" s="261" t="s">
        <v>110</v>
      </c>
      <c r="D118" s="262" t="s">
        <v>111</v>
      </c>
      <c r="E118" s="263">
        <v>10</v>
      </c>
      <c r="F118" s="264">
        <v>491.67</v>
      </c>
      <c r="G118" s="49">
        <v>491.67</v>
      </c>
      <c r="H118" s="34"/>
      <c r="I118" s="260"/>
      <c r="J118" s="260"/>
      <c r="K118" s="275" t="s">
        <v>459</v>
      </c>
    </row>
    <row r="119" spans="1:11" ht="12" outlineLevel="2" x14ac:dyDescent="0.2">
      <c r="A119" s="259"/>
      <c r="B119" s="260"/>
      <c r="C119" s="261"/>
      <c r="D119" s="262"/>
      <c r="E119" s="263"/>
      <c r="F119" s="264">
        <v>10</v>
      </c>
      <c r="G119" s="35">
        <v>10</v>
      </c>
      <c r="H119" s="34"/>
      <c r="I119" s="260"/>
      <c r="J119" s="260"/>
      <c r="K119" s="275"/>
    </row>
    <row r="120" spans="1:11" ht="12" customHeight="1" outlineLevel="2" x14ac:dyDescent="0.2">
      <c r="A120" s="259">
        <v>57</v>
      </c>
      <c r="B120" s="260"/>
      <c r="C120" s="261" t="s">
        <v>112</v>
      </c>
      <c r="D120" s="262" t="s">
        <v>113</v>
      </c>
      <c r="E120" s="263">
        <v>10</v>
      </c>
      <c r="F120" s="264">
        <v>575</v>
      </c>
      <c r="G120" s="49">
        <v>575</v>
      </c>
      <c r="H120" s="34"/>
      <c r="I120" s="260"/>
      <c r="J120" s="260"/>
      <c r="K120" s="275" t="s">
        <v>459</v>
      </c>
    </row>
    <row r="121" spans="1:11" ht="12" outlineLevel="2" x14ac:dyDescent="0.2">
      <c r="A121" s="259"/>
      <c r="B121" s="260"/>
      <c r="C121" s="261"/>
      <c r="D121" s="262"/>
      <c r="E121" s="263"/>
      <c r="F121" s="264">
        <v>10</v>
      </c>
      <c r="G121" s="35">
        <v>10</v>
      </c>
      <c r="H121" s="34"/>
      <c r="I121" s="260"/>
      <c r="J121" s="260"/>
      <c r="K121" s="275"/>
    </row>
    <row r="122" spans="1:11" ht="12" customHeight="1" outlineLevel="2" x14ac:dyDescent="0.2">
      <c r="A122" s="259">
        <v>58</v>
      </c>
      <c r="B122" s="260"/>
      <c r="C122" s="261" t="s">
        <v>114</v>
      </c>
      <c r="D122" s="262" t="s">
        <v>115</v>
      </c>
      <c r="E122" s="263">
        <v>3</v>
      </c>
      <c r="F122" s="264">
        <v>380</v>
      </c>
      <c r="G122" s="49">
        <v>380</v>
      </c>
      <c r="H122" s="34"/>
      <c r="I122" s="260"/>
      <c r="J122" s="260"/>
      <c r="K122" s="275" t="s">
        <v>459</v>
      </c>
    </row>
    <row r="123" spans="1:11" ht="12" outlineLevel="2" x14ac:dyDescent="0.2">
      <c r="A123" s="259"/>
      <c r="B123" s="260"/>
      <c r="C123" s="261"/>
      <c r="D123" s="262"/>
      <c r="E123" s="263"/>
      <c r="F123" s="264">
        <v>3</v>
      </c>
      <c r="G123" s="35">
        <v>3</v>
      </c>
      <c r="H123" s="34"/>
      <c r="I123" s="260"/>
      <c r="J123" s="260"/>
      <c r="K123" s="275"/>
    </row>
    <row r="124" spans="1:11" ht="12" customHeight="1" outlineLevel="2" x14ac:dyDescent="0.2">
      <c r="A124" s="259">
        <v>59</v>
      </c>
      <c r="B124" s="260"/>
      <c r="C124" s="261" t="s">
        <v>116</v>
      </c>
      <c r="D124" s="262" t="s">
        <v>117</v>
      </c>
      <c r="E124" s="263">
        <v>1</v>
      </c>
      <c r="F124" s="264">
        <v>145.83000000000001</v>
      </c>
      <c r="G124" s="49">
        <v>145.83000000000001</v>
      </c>
      <c r="H124" s="34"/>
      <c r="I124" s="260"/>
      <c r="J124" s="260"/>
      <c r="K124" s="275" t="s">
        <v>459</v>
      </c>
    </row>
    <row r="125" spans="1:11" ht="12" outlineLevel="2" x14ac:dyDescent="0.2">
      <c r="A125" s="259"/>
      <c r="B125" s="260"/>
      <c r="C125" s="261"/>
      <c r="D125" s="262"/>
      <c r="E125" s="263"/>
      <c r="F125" s="264">
        <v>1</v>
      </c>
      <c r="G125" s="35"/>
      <c r="H125" s="34"/>
      <c r="I125" s="260"/>
      <c r="J125" s="260"/>
      <c r="K125" s="275"/>
    </row>
    <row r="126" spans="1:11" ht="12" customHeight="1" outlineLevel="2" x14ac:dyDescent="0.2">
      <c r="A126" s="259">
        <v>60</v>
      </c>
      <c r="B126" s="260"/>
      <c r="C126" s="261" t="s">
        <v>118</v>
      </c>
      <c r="D126" s="262" t="s">
        <v>119</v>
      </c>
      <c r="E126" s="263">
        <f>G127</f>
        <v>4</v>
      </c>
      <c r="F126" s="264">
        <v>300</v>
      </c>
      <c r="G126" s="49">
        <v>300</v>
      </c>
      <c r="H126" s="34"/>
      <c r="I126" s="260"/>
      <c r="J126" s="260"/>
      <c r="K126" s="275" t="s">
        <v>459</v>
      </c>
    </row>
    <row r="127" spans="1:11" ht="12" outlineLevel="2" x14ac:dyDescent="0.2">
      <c r="A127" s="259"/>
      <c r="B127" s="260"/>
      <c r="C127" s="261"/>
      <c r="D127" s="262"/>
      <c r="E127" s="263"/>
      <c r="F127" s="264">
        <v>4</v>
      </c>
      <c r="G127" s="35">
        <v>4</v>
      </c>
      <c r="H127" s="34"/>
      <c r="I127" s="260"/>
      <c r="J127" s="260"/>
      <c r="K127" s="275"/>
    </row>
    <row r="128" spans="1:11" ht="12" customHeight="1" outlineLevel="2" x14ac:dyDescent="0.2">
      <c r="A128" s="259">
        <v>61</v>
      </c>
      <c r="B128" s="260"/>
      <c r="C128" s="261" t="s">
        <v>120</v>
      </c>
      <c r="D128" s="262" t="s">
        <v>121</v>
      </c>
      <c r="E128" s="263">
        <f>G129</f>
        <v>4</v>
      </c>
      <c r="F128" s="264">
        <v>343.33</v>
      </c>
      <c r="G128" s="49">
        <v>343.33</v>
      </c>
      <c r="H128" s="34"/>
      <c r="I128" s="260"/>
      <c r="J128" s="260"/>
      <c r="K128" s="275" t="s">
        <v>459</v>
      </c>
    </row>
    <row r="129" spans="1:11" ht="12" outlineLevel="2" x14ac:dyDescent="0.2">
      <c r="A129" s="259"/>
      <c r="B129" s="260"/>
      <c r="C129" s="261"/>
      <c r="D129" s="262"/>
      <c r="E129" s="263"/>
      <c r="F129" s="264">
        <v>4</v>
      </c>
      <c r="G129" s="35">
        <v>4</v>
      </c>
      <c r="H129" s="34"/>
      <c r="I129" s="260"/>
      <c r="J129" s="260"/>
      <c r="K129" s="275"/>
    </row>
    <row r="130" spans="1:11" ht="12" customHeight="1" outlineLevel="2" x14ac:dyDescent="0.2">
      <c r="A130" s="259">
        <v>62</v>
      </c>
      <c r="B130" s="260"/>
      <c r="C130" s="261" t="s">
        <v>122</v>
      </c>
      <c r="D130" s="262" t="s">
        <v>123</v>
      </c>
      <c r="E130" s="263">
        <f>G131</f>
        <v>4</v>
      </c>
      <c r="F130" s="264">
        <v>396.67</v>
      </c>
      <c r="G130" s="49">
        <v>396.67</v>
      </c>
      <c r="H130" s="34"/>
      <c r="I130" s="260"/>
      <c r="J130" s="260"/>
      <c r="K130" s="275" t="s">
        <v>459</v>
      </c>
    </row>
    <row r="131" spans="1:11" ht="12" outlineLevel="2" x14ac:dyDescent="0.2">
      <c r="A131" s="259"/>
      <c r="B131" s="260"/>
      <c r="C131" s="261"/>
      <c r="D131" s="262"/>
      <c r="E131" s="263"/>
      <c r="F131" s="264">
        <v>4</v>
      </c>
      <c r="G131" s="35">
        <v>4</v>
      </c>
      <c r="H131" s="34"/>
      <c r="I131" s="260"/>
      <c r="J131" s="260"/>
      <c r="K131" s="275"/>
    </row>
    <row r="132" spans="1:11" ht="12" customHeight="1" outlineLevel="2" x14ac:dyDescent="0.2">
      <c r="A132" s="259">
        <v>63</v>
      </c>
      <c r="B132" s="260"/>
      <c r="C132" s="261" t="s">
        <v>124</v>
      </c>
      <c r="D132" s="262" t="s">
        <v>125</v>
      </c>
      <c r="E132" s="263">
        <f>G133</f>
        <v>20</v>
      </c>
      <c r="F132" s="264">
        <v>450</v>
      </c>
      <c r="G132" s="49">
        <v>450</v>
      </c>
      <c r="H132" s="34"/>
      <c r="I132" s="260"/>
      <c r="J132" s="260"/>
      <c r="K132" s="275" t="s">
        <v>459</v>
      </c>
    </row>
    <row r="133" spans="1:11" ht="12" outlineLevel="2" x14ac:dyDescent="0.2">
      <c r="A133" s="259"/>
      <c r="B133" s="260"/>
      <c r="C133" s="261"/>
      <c r="D133" s="262"/>
      <c r="E133" s="263"/>
      <c r="F133" s="264">
        <v>20</v>
      </c>
      <c r="G133" s="35">
        <v>20</v>
      </c>
      <c r="H133" s="34"/>
      <c r="I133" s="260"/>
      <c r="J133" s="260"/>
      <c r="K133" s="275"/>
    </row>
    <row r="134" spans="1:11" ht="12" outlineLevel="2" x14ac:dyDescent="0.2">
      <c r="A134" s="247">
        <v>64</v>
      </c>
      <c r="B134" s="245"/>
      <c r="C134" s="250" t="s">
        <v>126</v>
      </c>
      <c r="D134" s="252" t="s">
        <v>127</v>
      </c>
      <c r="E134" s="254">
        <f t="shared" ref="E134:E196" si="0">G135</f>
        <v>1</v>
      </c>
      <c r="F134" s="255">
        <v>33301.67</v>
      </c>
      <c r="G134" s="27">
        <v>33301.67</v>
      </c>
      <c r="H134" s="28"/>
      <c r="I134" s="245">
        <v>8421392009</v>
      </c>
      <c r="J134" s="245"/>
      <c r="K134" s="274"/>
    </row>
    <row r="135" spans="1:11" ht="12" outlineLevel="2" x14ac:dyDescent="0.2">
      <c r="A135" s="247"/>
      <c r="B135" s="245"/>
      <c r="C135" s="250"/>
      <c r="D135" s="252"/>
      <c r="E135" s="254"/>
      <c r="F135" s="255">
        <v>1</v>
      </c>
      <c r="G135" s="29">
        <v>1</v>
      </c>
      <c r="H135" s="28"/>
      <c r="I135" s="245"/>
      <c r="J135" s="245"/>
      <c r="K135" s="274"/>
    </row>
    <row r="136" spans="1:11" ht="12" outlineLevel="2" x14ac:dyDescent="0.2">
      <c r="A136" s="259">
        <v>65</v>
      </c>
      <c r="B136" s="260"/>
      <c r="C136" s="261" t="s">
        <v>128</v>
      </c>
      <c r="D136" s="262" t="s">
        <v>129</v>
      </c>
      <c r="E136" s="263">
        <f t="shared" si="0"/>
        <v>1</v>
      </c>
      <c r="F136" s="264">
        <v>1222.5</v>
      </c>
      <c r="G136" s="33">
        <v>1222.5</v>
      </c>
      <c r="H136" s="34"/>
      <c r="I136" s="260"/>
      <c r="J136" s="260"/>
      <c r="K136" s="275" t="s">
        <v>461</v>
      </c>
    </row>
    <row r="137" spans="1:11" ht="12" outlineLevel="2" x14ac:dyDescent="0.2">
      <c r="A137" s="259"/>
      <c r="B137" s="260"/>
      <c r="C137" s="261"/>
      <c r="D137" s="262"/>
      <c r="E137" s="263"/>
      <c r="F137" s="264">
        <v>1</v>
      </c>
      <c r="G137" s="35">
        <v>1</v>
      </c>
      <c r="H137" s="34"/>
      <c r="I137" s="260"/>
      <c r="J137" s="260"/>
      <c r="K137" s="275"/>
    </row>
    <row r="138" spans="1:11" ht="12" customHeight="1" outlineLevel="2" x14ac:dyDescent="0.2">
      <c r="A138" s="259">
        <v>66</v>
      </c>
      <c r="B138" s="260"/>
      <c r="C138" s="261" t="s">
        <v>130</v>
      </c>
      <c r="D138" s="262" t="s">
        <v>131</v>
      </c>
      <c r="E138" s="263">
        <f t="shared" si="0"/>
        <v>1</v>
      </c>
      <c r="F138" s="264">
        <v>738.33</v>
      </c>
      <c r="G138" s="49">
        <v>738.33</v>
      </c>
      <c r="H138" s="34"/>
      <c r="I138" s="260"/>
      <c r="J138" s="260"/>
      <c r="K138" s="273" t="s">
        <v>448</v>
      </c>
    </row>
    <row r="139" spans="1:11" ht="12" outlineLevel="2" x14ac:dyDescent="0.2">
      <c r="A139" s="259"/>
      <c r="B139" s="260"/>
      <c r="C139" s="261"/>
      <c r="D139" s="262"/>
      <c r="E139" s="263"/>
      <c r="F139" s="264">
        <v>1</v>
      </c>
      <c r="G139" s="35">
        <v>1</v>
      </c>
      <c r="H139" s="34"/>
      <c r="I139" s="260"/>
      <c r="J139" s="260"/>
      <c r="K139" s="273"/>
    </row>
    <row r="140" spans="1:11" ht="12" customHeight="1" outlineLevel="2" x14ac:dyDescent="0.2">
      <c r="A140" s="259">
        <v>67</v>
      </c>
      <c r="B140" s="260"/>
      <c r="C140" s="261" t="s">
        <v>130</v>
      </c>
      <c r="D140" s="262" t="s">
        <v>132</v>
      </c>
      <c r="E140" s="263">
        <f t="shared" si="0"/>
        <v>5</v>
      </c>
      <c r="F140" s="264">
        <v>3338.33</v>
      </c>
      <c r="G140" s="33">
        <v>3338.33</v>
      </c>
      <c r="H140" s="34"/>
      <c r="I140" s="260"/>
      <c r="J140" s="260"/>
      <c r="K140" s="273" t="s">
        <v>448</v>
      </c>
    </row>
    <row r="141" spans="1:11" ht="12" outlineLevel="2" x14ac:dyDescent="0.2">
      <c r="A141" s="259"/>
      <c r="B141" s="260"/>
      <c r="C141" s="261"/>
      <c r="D141" s="262"/>
      <c r="E141" s="263"/>
      <c r="F141" s="264">
        <v>5</v>
      </c>
      <c r="G141" s="35">
        <v>5</v>
      </c>
      <c r="H141" s="34"/>
      <c r="I141" s="260"/>
      <c r="J141" s="260"/>
      <c r="K141" s="273"/>
    </row>
    <row r="142" spans="1:11" ht="12" customHeight="1" outlineLevel="2" x14ac:dyDescent="0.2">
      <c r="A142" s="259">
        <v>68</v>
      </c>
      <c r="B142" s="260"/>
      <c r="C142" s="261" t="s">
        <v>133</v>
      </c>
      <c r="D142" s="262" t="s">
        <v>134</v>
      </c>
      <c r="E142" s="263">
        <f t="shared" si="0"/>
        <v>2</v>
      </c>
      <c r="F142" s="264">
        <v>1835</v>
      </c>
      <c r="G142" s="33">
        <v>1835</v>
      </c>
      <c r="H142" s="34"/>
      <c r="I142" s="260"/>
      <c r="J142" s="260"/>
      <c r="K142" s="273" t="s">
        <v>448</v>
      </c>
    </row>
    <row r="143" spans="1:11" ht="12" outlineLevel="2" x14ac:dyDescent="0.2">
      <c r="A143" s="259"/>
      <c r="B143" s="260"/>
      <c r="C143" s="261"/>
      <c r="D143" s="262"/>
      <c r="E143" s="263"/>
      <c r="F143" s="264">
        <v>2</v>
      </c>
      <c r="G143" s="35">
        <v>2</v>
      </c>
      <c r="H143" s="34"/>
      <c r="I143" s="260"/>
      <c r="J143" s="260"/>
      <c r="K143" s="273"/>
    </row>
    <row r="144" spans="1:11" ht="12" outlineLevel="2" x14ac:dyDescent="0.2">
      <c r="A144" s="247">
        <v>69</v>
      </c>
      <c r="B144" s="245"/>
      <c r="C144" s="250" t="s">
        <v>135</v>
      </c>
      <c r="D144" s="252" t="s">
        <v>136</v>
      </c>
      <c r="E144" s="254">
        <f t="shared" si="0"/>
        <v>2</v>
      </c>
      <c r="F144" s="255">
        <v>1660</v>
      </c>
      <c r="G144" s="27">
        <v>1660</v>
      </c>
      <c r="H144" s="28"/>
      <c r="I144" s="245"/>
      <c r="J144" s="245"/>
      <c r="K144" s="274"/>
    </row>
    <row r="145" spans="1:11" ht="12" outlineLevel="2" x14ac:dyDescent="0.2">
      <c r="A145" s="247"/>
      <c r="B145" s="245"/>
      <c r="C145" s="250"/>
      <c r="D145" s="252"/>
      <c r="E145" s="254"/>
      <c r="F145" s="255">
        <v>2</v>
      </c>
      <c r="G145" s="29">
        <v>2</v>
      </c>
      <c r="H145" s="28"/>
      <c r="I145" s="245"/>
      <c r="J145" s="245"/>
      <c r="K145" s="274"/>
    </row>
    <row r="146" spans="1:11" ht="12" outlineLevel="2" x14ac:dyDescent="0.2">
      <c r="A146" s="247">
        <v>70</v>
      </c>
      <c r="B146" s="245"/>
      <c r="C146" s="250" t="s">
        <v>137</v>
      </c>
      <c r="D146" s="252" t="s">
        <v>138</v>
      </c>
      <c r="E146" s="254">
        <v>1</v>
      </c>
      <c r="F146" s="255">
        <v>17549.169999999998</v>
      </c>
      <c r="G146" s="28"/>
      <c r="H146" s="27">
        <v>17549.169999999998</v>
      </c>
      <c r="I146" s="245"/>
      <c r="J146" s="245"/>
      <c r="K146" s="274"/>
    </row>
    <row r="147" spans="1:11" ht="12" outlineLevel="2" x14ac:dyDescent="0.2">
      <c r="A147" s="247"/>
      <c r="B147" s="245"/>
      <c r="C147" s="250"/>
      <c r="D147" s="252"/>
      <c r="E147" s="254"/>
      <c r="F147" s="255">
        <v>1</v>
      </c>
      <c r="G147" s="28"/>
      <c r="H147" s="29">
        <v>1</v>
      </c>
      <c r="I147" s="245"/>
      <c r="J147" s="245"/>
      <c r="K147" s="274"/>
    </row>
    <row r="148" spans="1:11" ht="12" outlineLevel="2" x14ac:dyDescent="0.2">
      <c r="A148" s="247">
        <v>71</v>
      </c>
      <c r="B148" s="245"/>
      <c r="C148" s="250" t="s">
        <v>139</v>
      </c>
      <c r="D148" s="252" t="s">
        <v>140</v>
      </c>
      <c r="E148" s="254">
        <f t="shared" si="0"/>
        <v>1</v>
      </c>
      <c r="F148" s="255">
        <v>1037.5</v>
      </c>
      <c r="G148" s="27">
        <v>1037.5</v>
      </c>
      <c r="H148" s="28"/>
      <c r="I148" s="245"/>
      <c r="J148" s="245"/>
      <c r="K148" s="274"/>
    </row>
    <row r="149" spans="1:11" ht="12" outlineLevel="2" x14ac:dyDescent="0.2">
      <c r="A149" s="247"/>
      <c r="B149" s="245"/>
      <c r="C149" s="250"/>
      <c r="D149" s="252"/>
      <c r="E149" s="254"/>
      <c r="F149" s="255">
        <v>1</v>
      </c>
      <c r="G149" s="29">
        <v>1</v>
      </c>
      <c r="H149" s="28"/>
      <c r="I149" s="245"/>
      <c r="J149" s="245"/>
      <c r="K149" s="274"/>
    </row>
    <row r="150" spans="1:11" ht="12" outlineLevel="2" x14ac:dyDescent="0.2">
      <c r="A150" s="247">
        <v>72</v>
      </c>
      <c r="B150" s="245"/>
      <c r="C150" s="250" t="s">
        <v>141</v>
      </c>
      <c r="D150" s="252" t="s">
        <v>142</v>
      </c>
      <c r="E150" s="254">
        <f t="shared" si="0"/>
        <v>1</v>
      </c>
      <c r="F150" s="255">
        <v>3015.83</v>
      </c>
      <c r="G150" s="27">
        <v>3015.83</v>
      </c>
      <c r="H150" s="28"/>
      <c r="I150" s="245"/>
      <c r="J150" s="245"/>
      <c r="K150" s="274"/>
    </row>
    <row r="151" spans="1:11" ht="12" outlineLevel="2" x14ac:dyDescent="0.2">
      <c r="A151" s="247"/>
      <c r="B151" s="245"/>
      <c r="C151" s="250"/>
      <c r="D151" s="252"/>
      <c r="E151" s="254"/>
      <c r="F151" s="255">
        <v>1</v>
      </c>
      <c r="G151" s="29">
        <v>1</v>
      </c>
      <c r="H151" s="28"/>
      <c r="I151" s="245"/>
      <c r="J151" s="245"/>
      <c r="K151" s="274"/>
    </row>
    <row r="152" spans="1:11" ht="12" outlineLevel="2" x14ac:dyDescent="0.2">
      <c r="A152" s="247">
        <v>73</v>
      </c>
      <c r="B152" s="245"/>
      <c r="C152" s="250" t="s">
        <v>143</v>
      </c>
      <c r="D152" s="252" t="s">
        <v>144</v>
      </c>
      <c r="E152" s="254">
        <f t="shared" si="0"/>
        <v>1</v>
      </c>
      <c r="F152" s="255">
        <v>5488.33</v>
      </c>
      <c r="G152" s="27">
        <v>5488.33</v>
      </c>
      <c r="H152" s="28"/>
      <c r="I152" s="245"/>
      <c r="J152" s="245"/>
      <c r="K152" s="274"/>
    </row>
    <row r="153" spans="1:11" ht="12" outlineLevel="2" x14ac:dyDescent="0.2">
      <c r="A153" s="247"/>
      <c r="B153" s="245"/>
      <c r="C153" s="250"/>
      <c r="D153" s="252"/>
      <c r="E153" s="254"/>
      <c r="F153" s="255">
        <v>1</v>
      </c>
      <c r="G153" s="29">
        <v>1</v>
      </c>
      <c r="H153" s="28"/>
      <c r="I153" s="245"/>
      <c r="J153" s="245"/>
      <c r="K153" s="274"/>
    </row>
    <row r="154" spans="1:11" ht="12" outlineLevel="2" x14ac:dyDescent="0.2">
      <c r="A154" s="247">
        <v>74</v>
      </c>
      <c r="B154" s="245"/>
      <c r="C154" s="250" t="s">
        <v>145</v>
      </c>
      <c r="D154" s="252" t="s">
        <v>146</v>
      </c>
      <c r="E154" s="254">
        <f t="shared" si="0"/>
        <v>1</v>
      </c>
      <c r="F154" s="255">
        <v>10600.83</v>
      </c>
      <c r="G154" s="27">
        <v>10600.83</v>
      </c>
      <c r="H154" s="28"/>
      <c r="I154" s="245"/>
      <c r="J154" s="245"/>
      <c r="K154" s="274"/>
    </row>
    <row r="155" spans="1:11" ht="12" outlineLevel="2" x14ac:dyDescent="0.2">
      <c r="A155" s="247"/>
      <c r="B155" s="245"/>
      <c r="C155" s="250"/>
      <c r="D155" s="252"/>
      <c r="E155" s="254"/>
      <c r="F155" s="255">
        <v>1</v>
      </c>
      <c r="G155" s="29">
        <v>1</v>
      </c>
      <c r="H155" s="28"/>
      <c r="I155" s="245"/>
      <c r="J155" s="245"/>
      <c r="K155" s="274"/>
    </row>
    <row r="156" spans="1:11" ht="12" outlineLevel="2" x14ac:dyDescent="0.2">
      <c r="A156" s="259">
        <v>75</v>
      </c>
      <c r="B156" s="260"/>
      <c r="C156" s="261" t="s">
        <v>147</v>
      </c>
      <c r="D156" s="262" t="s">
        <v>148</v>
      </c>
      <c r="E156" s="263">
        <f t="shared" si="0"/>
        <v>1</v>
      </c>
      <c r="F156" s="264">
        <v>234.17</v>
      </c>
      <c r="G156" s="49">
        <v>234.17</v>
      </c>
      <c r="H156" s="34"/>
      <c r="I156" s="260"/>
      <c r="J156" s="260"/>
      <c r="K156" s="275" t="s">
        <v>461</v>
      </c>
    </row>
    <row r="157" spans="1:11" ht="12" outlineLevel="2" x14ac:dyDescent="0.2">
      <c r="A157" s="259"/>
      <c r="B157" s="260"/>
      <c r="C157" s="261"/>
      <c r="D157" s="262"/>
      <c r="E157" s="263"/>
      <c r="F157" s="264">
        <v>1</v>
      </c>
      <c r="G157" s="35">
        <v>1</v>
      </c>
      <c r="H157" s="34"/>
      <c r="I157" s="260"/>
      <c r="J157" s="260"/>
      <c r="K157" s="275"/>
    </row>
    <row r="158" spans="1:11" ht="12" customHeight="1" outlineLevel="2" x14ac:dyDescent="0.2">
      <c r="A158" s="259">
        <v>76</v>
      </c>
      <c r="B158" s="260"/>
      <c r="C158" s="261" t="s">
        <v>149</v>
      </c>
      <c r="D158" s="262" t="s">
        <v>150</v>
      </c>
      <c r="E158" s="263">
        <f t="shared" si="0"/>
        <v>1</v>
      </c>
      <c r="F158" s="264">
        <v>153.33000000000001</v>
      </c>
      <c r="G158" s="49">
        <v>153.33000000000001</v>
      </c>
      <c r="H158" s="34"/>
      <c r="I158" s="260"/>
      <c r="J158" s="260"/>
      <c r="K158" s="273" t="s">
        <v>448</v>
      </c>
    </row>
    <row r="159" spans="1:11" ht="12" outlineLevel="2" x14ac:dyDescent="0.2">
      <c r="A159" s="259"/>
      <c r="B159" s="260"/>
      <c r="C159" s="261"/>
      <c r="D159" s="262"/>
      <c r="E159" s="263"/>
      <c r="F159" s="264">
        <v>1</v>
      </c>
      <c r="G159" s="35">
        <v>1</v>
      </c>
      <c r="H159" s="34"/>
      <c r="I159" s="260"/>
      <c r="J159" s="260"/>
      <c r="K159" s="273"/>
    </row>
    <row r="160" spans="1:11" ht="12" outlineLevel="2" x14ac:dyDescent="0.2">
      <c r="A160" s="259">
        <v>77</v>
      </c>
      <c r="B160" s="260"/>
      <c r="C160" s="261" t="s">
        <v>151</v>
      </c>
      <c r="D160" s="262" t="s">
        <v>152</v>
      </c>
      <c r="E160" s="263">
        <f t="shared" si="0"/>
        <v>1</v>
      </c>
      <c r="F160" s="264">
        <v>741.67</v>
      </c>
      <c r="G160" s="49">
        <v>741.67</v>
      </c>
      <c r="H160" s="34"/>
      <c r="I160" s="260"/>
      <c r="J160" s="260"/>
      <c r="K160" s="275" t="s">
        <v>461</v>
      </c>
    </row>
    <row r="161" spans="1:11" ht="12" outlineLevel="2" x14ac:dyDescent="0.2">
      <c r="A161" s="259"/>
      <c r="B161" s="260"/>
      <c r="C161" s="261"/>
      <c r="D161" s="262"/>
      <c r="E161" s="263"/>
      <c r="F161" s="264">
        <v>1</v>
      </c>
      <c r="G161" s="35">
        <v>1</v>
      </c>
      <c r="H161" s="34"/>
      <c r="I161" s="260"/>
      <c r="J161" s="260"/>
      <c r="K161" s="275"/>
    </row>
    <row r="162" spans="1:11" ht="12" outlineLevel="2" x14ac:dyDescent="0.2">
      <c r="A162" s="259">
        <v>78</v>
      </c>
      <c r="B162" s="260"/>
      <c r="C162" s="261" t="s">
        <v>153</v>
      </c>
      <c r="D162" s="262" t="s">
        <v>154</v>
      </c>
      <c r="E162" s="263">
        <f t="shared" si="0"/>
        <v>5</v>
      </c>
      <c r="F162" s="264">
        <v>266.67</v>
      </c>
      <c r="G162" s="49">
        <v>266.67</v>
      </c>
      <c r="H162" s="34"/>
      <c r="I162" s="260"/>
      <c r="J162" s="260"/>
      <c r="K162" s="275" t="s">
        <v>461</v>
      </c>
    </row>
    <row r="163" spans="1:11" ht="12" outlineLevel="2" x14ac:dyDescent="0.2">
      <c r="A163" s="259"/>
      <c r="B163" s="260"/>
      <c r="C163" s="261"/>
      <c r="D163" s="262"/>
      <c r="E163" s="263"/>
      <c r="F163" s="264">
        <v>5</v>
      </c>
      <c r="G163" s="35">
        <v>5</v>
      </c>
      <c r="H163" s="34"/>
      <c r="I163" s="260"/>
      <c r="J163" s="260"/>
      <c r="K163" s="275"/>
    </row>
    <row r="164" spans="1:11" ht="12" outlineLevel="2" x14ac:dyDescent="0.2">
      <c r="A164" s="259">
        <v>79</v>
      </c>
      <c r="B164" s="260"/>
      <c r="C164" s="261" t="s">
        <v>155</v>
      </c>
      <c r="D164" s="262" t="s">
        <v>156</v>
      </c>
      <c r="E164" s="263">
        <f t="shared" si="0"/>
        <v>5</v>
      </c>
      <c r="F164" s="264">
        <v>291.67</v>
      </c>
      <c r="G164" s="49">
        <v>291.67</v>
      </c>
      <c r="H164" s="34"/>
      <c r="I164" s="260"/>
      <c r="J164" s="260"/>
      <c r="K164" s="275" t="s">
        <v>461</v>
      </c>
    </row>
    <row r="165" spans="1:11" ht="12" outlineLevel="2" x14ac:dyDescent="0.2">
      <c r="A165" s="259"/>
      <c r="B165" s="260"/>
      <c r="C165" s="261"/>
      <c r="D165" s="262"/>
      <c r="E165" s="263"/>
      <c r="F165" s="264">
        <v>5</v>
      </c>
      <c r="G165" s="35">
        <v>5</v>
      </c>
      <c r="H165" s="34"/>
      <c r="I165" s="260"/>
      <c r="J165" s="260"/>
      <c r="K165" s="275"/>
    </row>
    <row r="166" spans="1:11" ht="12" outlineLevel="2" x14ac:dyDescent="0.2">
      <c r="A166" s="259">
        <v>80</v>
      </c>
      <c r="B166" s="260"/>
      <c r="C166" s="261" t="s">
        <v>157</v>
      </c>
      <c r="D166" s="262" t="s">
        <v>158</v>
      </c>
      <c r="E166" s="263">
        <f t="shared" si="0"/>
        <v>5</v>
      </c>
      <c r="F166" s="264">
        <v>183.33</v>
      </c>
      <c r="G166" s="49">
        <v>183.33</v>
      </c>
      <c r="H166" s="34"/>
      <c r="I166" s="260"/>
      <c r="J166" s="260"/>
      <c r="K166" s="275" t="s">
        <v>461</v>
      </c>
    </row>
    <row r="167" spans="1:11" ht="12" outlineLevel="2" x14ac:dyDescent="0.2">
      <c r="A167" s="259"/>
      <c r="B167" s="260"/>
      <c r="C167" s="261"/>
      <c r="D167" s="262"/>
      <c r="E167" s="263"/>
      <c r="F167" s="264">
        <v>5</v>
      </c>
      <c r="G167" s="35">
        <v>5</v>
      </c>
      <c r="H167" s="34"/>
      <c r="I167" s="260"/>
      <c r="J167" s="260"/>
      <c r="K167" s="275"/>
    </row>
    <row r="168" spans="1:11" ht="12" outlineLevel="2" x14ac:dyDescent="0.2">
      <c r="A168" s="247">
        <v>81</v>
      </c>
      <c r="B168" s="245"/>
      <c r="C168" s="250" t="s">
        <v>159</v>
      </c>
      <c r="D168" s="252" t="s">
        <v>160</v>
      </c>
      <c r="E168" s="254">
        <f t="shared" si="0"/>
        <v>1</v>
      </c>
      <c r="F168" s="255">
        <v>12050.83</v>
      </c>
      <c r="G168" s="27">
        <v>12050.83</v>
      </c>
      <c r="H168" s="28"/>
      <c r="I168" s="245">
        <v>8207903000</v>
      </c>
      <c r="J168" s="245"/>
      <c r="K168" s="274"/>
    </row>
    <row r="169" spans="1:11" ht="12" outlineLevel="2" x14ac:dyDescent="0.2">
      <c r="A169" s="247"/>
      <c r="B169" s="245"/>
      <c r="C169" s="250"/>
      <c r="D169" s="252"/>
      <c r="E169" s="254"/>
      <c r="F169" s="255">
        <v>1</v>
      </c>
      <c r="G169" s="29">
        <v>1</v>
      </c>
      <c r="H169" s="28"/>
      <c r="I169" s="245"/>
      <c r="J169" s="245"/>
      <c r="K169" s="274"/>
    </row>
    <row r="170" spans="1:11" ht="12" outlineLevel="2" x14ac:dyDescent="0.2">
      <c r="A170" s="259">
        <v>82</v>
      </c>
      <c r="B170" s="260"/>
      <c r="C170" s="261" t="s">
        <v>161</v>
      </c>
      <c r="D170" s="262" t="s">
        <v>162</v>
      </c>
      <c r="E170" s="263">
        <f t="shared" si="0"/>
        <v>4</v>
      </c>
      <c r="F170" s="264">
        <v>456.67</v>
      </c>
      <c r="G170" s="49">
        <v>456.67</v>
      </c>
      <c r="H170" s="34"/>
      <c r="I170" s="260"/>
      <c r="J170" s="260"/>
      <c r="K170" s="275" t="s">
        <v>461</v>
      </c>
    </row>
    <row r="171" spans="1:11" ht="12" outlineLevel="2" x14ac:dyDescent="0.2">
      <c r="A171" s="259"/>
      <c r="B171" s="260"/>
      <c r="C171" s="261"/>
      <c r="D171" s="262"/>
      <c r="E171" s="263"/>
      <c r="F171" s="264">
        <v>4</v>
      </c>
      <c r="G171" s="35">
        <v>4</v>
      </c>
      <c r="H171" s="34"/>
      <c r="I171" s="260"/>
      <c r="J171" s="260"/>
      <c r="K171" s="275"/>
    </row>
    <row r="172" spans="1:11" ht="12" customHeight="1" outlineLevel="2" x14ac:dyDescent="0.2">
      <c r="A172" s="259">
        <v>83</v>
      </c>
      <c r="B172" s="260"/>
      <c r="C172" s="261" t="s">
        <v>163</v>
      </c>
      <c r="D172" s="262" t="s">
        <v>164</v>
      </c>
      <c r="E172" s="263">
        <f t="shared" si="0"/>
        <v>1</v>
      </c>
      <c r="F172" s="264">
        <v>1135</v>
      </c>
      <c r="G172" s="33">
        <v>1135</v>
      </c>
      <c r="H172" s="34"/>
      <c r="I172" s="260"/>
      <c r="J172" s="260"/>
      <c r="K172" s="273" t="s">
        <v>448</v>
      </c>
    </row>
    <row r="173" spans="1:11" ht="12" outlineLevel="2" x14ac:dyDescent="0.2">
      <c r="A173" s="259"/>
      <c r="B173" s="260"/>
      <c r="C173" s="261"/>
      <c r="D173" s="262"/>
      <c r="E173" s="263"/>
      <c r="F173" s="264">
        <v>1</v>
      </c>
      <c r="G173" s="35">
        <v>1</v>
      </c>
      <c r="H173" s="34"/>
      <c r="I173" s="260"/>
      <c r="J173" s="260"/>
      <c r="K173" s="273"/>
    </row>
    <row r="174" spans="1:11" ht="12" outlineLevel="2" x14ac:dyDescent="0.2">
      <c r="A174" s="247">
        <v>84</v>
      </c>
      <c r="B174" s="245"/>
      <c r="C174" s="250" t="s">
        <v>165</v>
      </c>
      <c r="D174" s="252" t="s">
        <v>166</v>
      </c>
      <c r="E174" s="254">
        <f t="shared" si="0"/>
        <v>2</v>
      </c>
      <c r="F174" s="255">
        <v>5761.67</v>
      </c>
      <c r="G174" s="27">
        <v>5761.67</v>
      </c>
      <c r="H174" s="28"/>
      <c r="I174" s="245"/>
      <c r="J174" s="245"/>
      <c r="K174" s="274"/>
    </row>
    <row r="175" spans="1:11" ht="12" outlineLevel="2" x14ac:dyDescent="0.2">
      <c r="A175" s="247"/>
      <c r="B175" s="245"/>
      <c r="C175" s="250"/>
      <c r="D175" s="252"/>
      <c r="E175" s="254"/>
      <c r="F175" s="255">
        <v>2</v>
      </c>
      <c r="G175" s="29">
        <v>2</v>
      </c>
      <c r="H175" s="28"/>
      <c r="I175" s="245"/>
      <c r="J175" s="245"/>
      <c r="K175" s="274"/>
    </row>
    <row r="176" spans="1:11" ht="12" outlineLevel="2" x14ac:dyDescent="0.2">
      <c r="A176" s="266">
        <v>85</v>
      </c>
      <c r="B176" s="267"/>
      <c r="C176" s="268" t="s">
        <v>167</v>
      </c>
      <c r="D176" s="269" t="s">
        <v>168</v>
      </c>
      <c r="E176" s="270">
        <f t="shared" si="0"/>
        <v>1</v>
      </c>
      <c r="F176" s="271">
        <v>1787996.97</v>
      </c>
      <c r="G176" s="38">
        <v>1787996.97</v>
      </c>
      <c r="H176" s="39"/>
      <c r="I176" s="267"/>
      <c r="J176" s="267"/>
      <c r="K176" s="292" t="s">
        <v>954</v>
      </c>
    </row>
    <row r="177" spans="1:11" ht="12" outlineLevel="2" x14ac:dyDescent="0.2">
      <c r="A177" s="266"/>
      <c r="B177" s="267"/>
      <c r="C177" s="268"/>
      <c r="D177" s="269"/>
      <c r="E177" s="270"/>
      <c r="F177" s="271">
        <v>1</v>
      </c>
      <c r="G177" s="40">
        <v>1</v>
      </c>
      <c r="H177" s="39"/>
      <c r="I177" s="267"/>
      <c r="J177" s="267"/>
      <c r="K177" s="292"/>
    </row>
    <row r="178" spans="1:11" ht="12" outlineLevel="2" x14ac:dyDescent="0.2">
      <c r="A178" s="266">
        <v>86</v>
      </c>
      <c r="B178" s="267"/>
      <c r="C178" s="268" t="s">
        <v>169</v>
      </c>
      <c r="D178" s="269" t="s">
        <v>170</v>
      </c>
      <c r="E178" s="270">
        <f t="shared" si="0"/>
        <v>1</v>
      </c>
      <c r="F178" s="271">
        <v>980375.56</v>
      </c>
      <c r="G178" s="38">
        <v>980375.56</v>
      </c>
      <c r="H178" s="39"/>
      <c r="I178" s="267"/>
      <c r="J178" s="267"/>
      <c r="K178" s="292" t="s">
        <v>954</v>
      </c>
    </row>
    <row r="179" spans="1:11" ht="12" outlineLevel="2" x14ac:dyDescent="0.2">
      <c r="A179" s="266"/>
      <c r="B179" s="267"/>
      <c r="C179" s="268"/>
      <c r="D179" s="269"/>
      <c r="E179" s="270"/>
      <c r="F179" s="271">
        <v>1</v>
      </c>
      <c r="G179" s="40">
        <v>1</v>
      </c>
      <c r="H179" s="39"/>
      <c r="I179" s="267"/>
      <c r="J179" s="267"/>
      <c r="K179" s="292"/>
    </row>
    <row r="180" spans="1:11" ht="12" outlineLevel="2" x14ac:dyDescent="0.2">
      <c r="A180" s="266">
        <v>87</v>
      </c>
      <c r="B180" s="267"/>
      <c r="C180" s="268" t="s">
        <v>171</v>
      </c>
      <c r="D180" s="269" t="s">
        <v>172</v>
      </c>
      <c r="E180" s="270">
        <f t="shared" si="0"/>
        <v>1</v>
      </c>
      <c r="F180" s="271">
        <v>1534585.93</v>
      </c>
      <c r="G180" s="38">
        <v>1534585.93</v>
      </c>
      <c r="H180" s="39"/>
      <c r="I180" s="267"/>
      <c r="J180" s="267"/>
      <c r="K180" s="292" t="s">
        <v>954</v>
      </c>
    </row>
    <row r="181" spans="1:11" ht="12" outlineLevel="2" x14ac:dyDescent="0.2">
      <c r="A181" s="266"/>
      <c r="B181" s="267"/>
      <c r="C181" s="268"/>
      <c r="D181" s="269"/>
      <c r="E181" s="270"/>
      <c r="F181" s="271">
        <v>1</v>
      </c>
      <c r="G181" s="40">
        <v>1</v>
      </c>
      <c r="H181" s="39"/>
      <c r="I181" s="267"/>
      <c r="J181" s="267"/>
      <c r="K181" s="292"/>
    </row>
    <row r="182" spans="1:11" ht="12" outlineLevel="2" x14ac:dyDescent="0.2">
      <c r="A182" s="266">
        <v>88</v>
      </c>
      <c r="B182" s="267"/>
      <c r="C182" s="268" t="s">
        <v>173</v>
      </c>
      <c r="D182" s="269" t="s">
        <v>174</v>
      </c>
      <c r="E182" s="270">
        <f t="shared" si="0"/>
        <v>1</v>
      </c>
      <c r="F182" s="271">
        <v>675865.53</v>
      </c>
      <c r="G182" s="38">
        <v>675865.53</v>
      </c>
      <c r="H182" s="39"/>
      <c r="I182" s="267"/>
      <c r="J182" s="267"/>
      <c r="K182" s="292" t="s">
        <v>954</v>
      </c>
    </row>
    <row r="183" spans="1:11" ht="12" outlineLevel="2" x14ac:dyDescent="0.2">
      <c r="A183" s="266"/>
      <c r="B183" s="267"/>
      <c r="C183" s="268"/>
      <c r="D183" s="269"/>
      <c r="E183" s="270"/>
      <c r="F183" s="271">
        <v>1</v>
      </c>
      <c r="G183" s="40">
        <v>1</v>
      </c>
      <c r="H183" s="39"/>
      <c r="I183" s="267"/>
      <c r="J183" s="267"/>
      <c r="K183" s="292"/>
    </row>
    <row r="184" spans="1:11" ht="12" outlineLevel="2" x14ac:dyDescent="0.2">
      <c r="A184" s="266">
        <v>89</v>
      </c>
      <c r="B184" s="267"/>
      <c r="C184" s="268" t="s">
        <v>175</v>
      </c>
      <c r="D184" s="269" t="s">
        <v>176</v>
      </c>
      <c r="E184" s="270">
        <f t="shared" si="0"/>
        <v>1</v>
      </c>
      <c r="F184" s="271">
        <v>643894.1</v>
      </c>
      <c r="G184" s="38">
        <v>643894.1</v>
      </c>
      <c r="H184" s="39"/>
      <c r="I184" s="267"/>
      <c r="J184" s="267"/>
      <c r="K184" s="292" t="s">
        <v>954</v>
      </c>
    </row>
    <row r="185" spans="1:11" ht="12" outlineLevel="2" x14ac:dyDescent="0.2">
      <c r="A185" s="266"/>
      <c r="B185" s="267"/>
      <c r="C185" s="268"/>
      <c r="D185" s="269"/>
      <c r="E185" s="270"/>
      <c r="F185" s="271">
        <v>1</v>
      </c>
      <c r="G185" s="40">
        <v>1</v>
      </c>
      <c r="H185" s="39"/>
      <c r="I185" s="267"/>
      <c r="J185" s="267"/>
      <c r="K185" s="292"/>
    </row>
    <row r="186" spans="1:11" ht="12" outlineLevel="2" x14ac:dyDescent="0.2">
      <c r="A186" s="266">
        <v>90</v>
      </c>
      <c r="B186" s="267"/>
      <c r="C186" s="268" t="s">
        <v>177</v>
      </c>
      <c r="D186" s="269" t="s">
        <v>178</v>
      </c>
      <c r="E186" s="270">
        <f t="shared" si="0"/>
        <v>1</v>
      </c>
      <c r="F186" s="271">
        <v>3154347.48</v>
      </c>
      <c r="G186" s="38">
        <v>3154347.48</v>
      </c>
      <c r="H186" s="39"/>
      <c r="I186" s="267"/>
      <c r="J186" s="267"/>
      <c r="K186" s="292" t="s">
        <v>954</v>
      </c>
    </row>
    <row r="187" spans="1:11" ht="12" outlineLevel="2" x14ac:dyDescent="0.2">
      <c r="A187" s="266"/>
      <c r="B187" s="267"/>
      <c r="C187" s="268"/>
      <c r="D187" s="269"/>
      <c r="E187" s="270"/>
      <c r="F187" s="271">
        <v>1</v>
      </c>
      <c r="G187" s="40">
        <v>1</v>
      </c>
      <c r="H187" s="39"/>
      <c r="I187" s="267"/>
      <c r="J187" s="267"/>
      <c r="K187" s="292"/>
    </row>
    <row r="188" spans="1:11" ht="12" outlineLevel="2" x14ac:dyDescent="0.2">
      <c r="A188" s="266">
        <v>91</v>
      </c>
      <c r="B188" s="267"/>
      <c r="C188" s="268" t="s">
        <v>179</v>
      </c>
      <c r="D188" s="269" t="s">
        <v>180</v>
      </c>
      <c r="E188" s="270">
        <f t="shared" si="0"/>
        <v>1</v>
      </c>
      <c r="F188" s="271">
        <v>2188942.2599999998</v>
      </c>
      <c r="G188" s="38">
        <v>2188942.2599999998</v>
      </c>
      <c r="H188" s="39"/>
      <c r="I188" s="267"/>
      <c r="J188" s="267"/>
      <c r="K188" s="292" t="s">
        <v>954</v>
      </c>
    </row>
    <row r="189" spans="1:11" ht="12" outlineLevel="2" x14ac:dyDescent="0.2">
      <c r="A189" s="266"/>
      <c r="B189" s="267"/>
      <c r="C189" s="268"/>
      <c r="D189" s="269"/>
      <c r="E189" s="270"/>
      <c r="F189" s="271">
        <v>1</v>
      </c>
      <c r="G189" s="40">
        <v>1</v>
      </c>
      <c r="H189" s="39"/>
      <c r="I189" s="267"/>
      <c r="J189" s="267"/>
      <c r="K189" s="292"/>
    </row>
    <row r="190" spans="1:11" ht="12" outlineLevel="2" x14ac:dyDescent="0.2">
      <c r="A190" s="266">
        <v>92</v>
      </c>
      <c r="B190" s="267"/>
      <c r="C190" s="268" t="s">
        <v>181</v>
      </c>
      <c r="D190" s="269" t="s">
        <v>182</v>
      </c>
      <c r="E190" s="270">
        <f t="shared" si="0"/>
        <v>1</v>
      </c>
      <c r="F190" s="271">
        <v>1142433.5900000001</v>
      </c>
      <c r="G190" s="38">
        <v>1142433.5900000001</v>
      </c>
      <c r="H190" s="39"/>
      <c r="I190" s="267"/>
      <c r="J190" s="267"/>
      <c r="K190" s="292" t="s">
        <v>954</v>
      </c>
    </row>
    <row r="191" spans="1:11" ht="12" outlineLevel="2" x14ac:dyDescent="0.2">
      <c r="A191" s="266"/>
      <c r="B191" s="267"/>
      <c r="C191" s="268"/>
      <c r="D191" s="269"/>
      <c r="E191" s="270"/>
      <c r="F191" s="271">
        <v>1</v>
      </c>
      <c r="G191" s="40">
        <v>1</v>
      </c>
      <c r="H191" s="39"/>
      <c r="I191" s="267"/>
      <c r="J191" s="267"/>
      <c r="K191" s="292"/>
    </row>
    <row r="192" spans="1:11" ht="12" outlineLevel="2" x14ac:dyDescent="0.2">
      <c r="A192" s="266">
        <v>93</v>
      </c>
      <c r="B192" s="267"/>
      <c r="C192" s="268" t="s">
        <v>183</v>
      </c>
      <c r="D192" s="269" t="s">
        <v>184</v>
      </c>
      <c r="E192" s="270">
        <f t="shared" si="0"/>
        <v>1</v>
      </c>
      <c r="F192" s="271">
        <v>1219475.47</v>
      </c>
      <c r="G192" s="38">
        <v>1219475.47</v>
      </c>
      <c r="H192" s="39"/>
      <c r="I192" s="267"/>
      <c r="J192" s="267"/>
      <c r="K192" s="292" t="s">
        <v>954</v>
      </c>
    </row>
    <row r="193" spans="1:11" ht="12" outlineLevel="2" x14ac:dyDescent="0.2">
      <c r="A193" s="266"/>
      <c r="B193" s="267"/>
      <c r="C193" s="268"/>
      <c r="D193" s="269"/>
      <c r="E193" s="270"/>
      <c r="F193" s="271">
        <v>1</v>
      </c>
      <c r="G193" s="40">
        <v>1</v>
      </c>
      <c r="H193" s="39"/>
      <c r="I193" s="267"/>
      <c r="J193" s="267"/>
      <c r="K193" s="292"/>
    </row>
    <row r="194" spans="1:11" ht="12" outlineLevel="2" x14ac:dyDescent="0.2">
      <c r="A194" s="247">
        <v>94</v>
      </c>
      <c r="B194" s="245"/>
      <c r="C194" s="250" t="s">
        <v>185</v>
      </c>
      <c r="D194" s="252" t="s">
        <v>186</v>
      </c>
      <c r="E194" s="254">
        <f t="shared" si="0"/>
        <v>1</v>
      </c>
      <c r="F194" s="255">
        <v>65474.17</v>
      </c>
      <c r="G194" s="27">
        <v>65474.17</v>
      </c>
      <c r="H194" s="28"/>
      <c r="I194" s="245"/>
      <c r="J194" s="245"/>
      <c r="K194" s="274"/>
    </row>
    <row r="195" spans="1:11" ht="12" outlineLevel="2" x14ac:dyDescent="0.2">
      <c r="A195" s="247"/>
      <c r="B195" s="245"/>
      <c r="C195" s="250"/>
      <c r="D195" s="252"/>
      <c r="E195" s="254"/>
      <c r="F195" s="255">
        <v>1</v>
      </c>
      <c r="G195" s="29">
        <v>1</v>
      </c>
      <c r="H195" s="28"/>
      <c r="I195" s="245"/>
      <c r="J195" s="245"/>
      <c r="K195" s="274"/>
    </row>
    <row r="196" spans="1:11" ht="12" customHeight="1" outlineLevel="2" x14ac:dyDescent="0.2">
      <c r="A196" s="259">
        <v>95</v>
      </c>
      <c r="B196" s="260"/>
      <c r="C196" s="261" t="s">
        <v>187</v>
      </c>
      <c r="D196" s="262" t="s">
        <v>188</v>
      </c>
      <c r="E196" s="263">
        <f t="shared" si="0"/>
        <v>1</v>
      </c>
      <c r="F196" s="264">
        <v>1032.5</v>
      </c>
      <c r="G196" s="33">
        <v>1032.5</v>
      </c>
      <c r="H196" s="34"/>
      <c r="I196" s="260"/>
      <c r="J196" s="260"/>
      <c r="K196" s="275" t="s">
        <v>457</v>
      </c>
    </row>
    <row r="197" spans="1:11" ht="12" outlineLevel="2" x14ac:dyDescent="0.2">
      <c r="A197" s="259"/>
      <c r="B197" s="260"/>
      <c r="C197" s="261"/>
      <c r="D197" s="262"/>
      <c r="E197" s="263"/>
      <c r="F197" s="264">
        <v>1</v>
      </c>
      <c r="G197" s="35">
        <v>1</v>
      </c>
      <c r="H197" s="34"/>
      <c r="I197" s="260"/>
      <c r="J197" s="260"/>
      <c r="K197" s="275"/>
    </row>
    <row r="198" spans="1:11" ht="12" outlineLevel="2" x14ac:dyDescent="0.2">
      <c r="A198" s="259">
        <v>96</v>
      </c>
      <c r="B198" s="260"/>
      <c r="C198" s="261" t="s">
        <v>189</v>
      </c>
      <c r="D198" s="262" t="s">
        <v>190</v>
      </c>
      <c r="E198" s="263">
        <f t="shared" ref="E198:E260" si="1">G199</f>
        <v>6</v>
      </c>
      <c r="F198" s="264">
        <v>49200</v>
      </c>
      <c r="G198" s="33">
        <v>49200</v>
      </c>
      <c r="H198" s="34"/>
      <c r="I198" s="260"/>
      <c r="J198" s="260"/>
      <c r="K198" s="275" t="s">
        <v>458</v>
      </c>
    </row>
    <row r="199" spans="1:11" ht="12" outlineLevel="2" x14ac:dyDescent="0.2">
      <c r="A199" s="259"/>
      <c r="B199" s="260"/>
      <c r="C199" s="261"/>
      <c r="D199" s="262"/>
      <c r="E199" s="263"/>
      <c r="F199" s="264">
        <v>6</v>
      </c>
      <c r="G199" s="35">
        <v>6</v>
      </c>
      <c r="H199" s="34"/>
      <c r="I199" s="260"/>
      <c r="J199" s="260"/>
      <c r="K199" s="275"/>
    </row>
    <row r="200" spans="1:11" ht="12" customHeight="1" outlineLevel="2" x14ac:dyDescent="0.2">
      <c r="A200" s="259">
        <v>97</v>
      </c>
      <c r="B200" s="260"/>
      <c r="C200" s="261" t="s">
        <v>191</v>
      </c>
      <c r="D200" s="262" t="s">
        <v>192</v>
      </c>
      <c r="E200" s="263">
        <f t="shared" si="1"/>
        <v>1</v>
      </c>
      <c r="F200" s="264">
        <v>260.83</v>
      </c>
      <c r="G200" s="49">
        <v>260.83</v>
      </c>
      <c r="H200" s="34"/>
      <c r="I200" s="260"/>
      <c r="J200" s="260"/>
      <c r="K200" s="273" t="s">
        <v>448</v>
      </c>
    </row>
    <row r="201" spans="1:11" ht="12" outlineLevel="2" x14ac:dyDescent="0.2">
      <c r="A201" s="259"/>
      <c r="B201" s="260"/>
      <c r="C201" s="261"/>
      <c r="D201" s="262"/>
      <c r="E201" s="263"/>
      <c r="F201" s="264">
        <v>1</v>
      </c>
      <c r="G201" s="35">
        <v>1</v>
      </c>
      <c r="H201" s="34"/>
      <c r="I201" s="260"/>
      <c r="J201" s="260"/>
      <c r="K201" s="273"/>
    </row>
    <row r="202" spans="1:11" ht="12" outlineLevel="2" x14ac:dyDescent="0.2">
      <c r="A202" s="247">
        <v>98</v>
      </c>
      <c r="B202" s="245"/>
      <c r="C202" s="250" t="s">
        <v>193</v>
      </c>
      <c r="D202" s="252" t="s">
        <v>194</v>
      </c>
      <c r="E202" s="254">
        <f t="shared" si="1"/>
        <v>2</v>
      </c>
      <c r="F202" s="255">
        <v>10939.15</v>
      </c>
      <c r="G202" s="27">
        <v>10939.15</v>
      </c>
      <c r="H202" s="28"/>
      <c r="I202" s="245"/>
      <c r="J202" s="245"/>
      <c r="K202" s="274" t="s">
        <v>453</v>
      </c>
    </row>
    <row r="203" spans="1:11" ht="12" outlineLevel="2" x14ac:dyDescent="0.2">
      <c r="A203" s="247"/>
      <c r="B203" s="245"/>
      <c r="C203" s="250"/>
      <c r="D203" s="252"/>
      <c r="E203" s="254"/>
      <c r="F203" s="255">
        <v>2</v>
      </c>
      <c r="G203" s="29">
        <v>2</v>
      </c>
      <c r="H203" s="28"/>
      <c r="I203" s="245"/>
      <c r="J203" s="245"/>
      <c r="K203" s="274"/>
    </row>
    <row r="204" spans="1:11" ht="12" customHeight="1" outlineLevel="2" x14ac:dyDescent="0.2">
      <c r="A204" s="259">
        <v>99</v>
      </c>
      <c r="B204" s="260"/>
      <c r="C204" s="261" t="s">
        <v>195</v>
      </c>
      <c r="D204" s="262" t="s">
        <v>196</v>
      </c>
      <c r="E204" s="263">
        <f t="shared" si="1"/>
        <v>1</v>
      </c>
      <c r="F204" s="264">
        <v>451.67</v>
      </c>
      <c r="G204" s="49">
        <v>451.67</v>
      </c>
      <c r="H204" s="34"/>
      <c r="I204" s="260"/>
      <c r="J204" s="260"/>
      <c r="K204" s="273" t="s">
        <v>448</v>
      </c>
    </row>
    <row r="205" spans="1:11" ht="12" outlineLevel="2" x14ac:dyDescent="0.2">
      <c r="A205" s="259"/>
      <c r="B205" s="260"/>
      <c r="C205" s="261"/>
      <c r="D205" s="262"/>
      <c r="E205" s="263"/>
      <c r="F205" s="264">
        <v>1</v>
      </c>
      <c r="G205" s="35">
        <v>1</v>
      </c>
      <c r="H205" s="34"/>
      <c r="I205" s="260"/>
      <c r="J205" s="260"/>
      <c r="K205" s="273"/>
    </row>
    <row r="206" spans="1:11" ht="12" outlineLevel="2" x14ac:dyDescent="0.2">
      <c r="A206" s="247">
        <v>100</v>
      </c>
      <c r="B206" s="245"/>
      <c r="C206" s="250" t="s">
        <v>197</v>
      </c>
      <c r="D206" s="252" t="s">
        <v>198</v>
      </c>
      <c r="E206" s="254">
        <f t="shared" si="1"/>
        <v>0</v>
      </c>
      <c r="F206" s="255">
        <v>461780</v>
      </c>
      <c r="G206" s="28"/>
      <c r="H206" s="27">
        <v>461780</v>
      </c>
      <c r="I206" s="245"/>
      <c r="J206" s="245"/>
      <c r="K206" s="274" t="s">
        <v>453</v>
      </c>
    </row>
    <row r="207" spans="1:11" ht="12" outlineLevel="2" x14ac:dyDescent="0.2">
      <c r="A207" s="247"/>
      <c r="B207" s="245"/>
      <c r="C207" s="250"/>
      <c r="D207" s="252"/>
      <c r="E207" s="254"/>
      <c r="F207" s="255">
        <v>1</v>
      </c>
      <c r="G207" s="28"/>
      <c r="H207" s="29">
        <v>1</v>
      </c>
      <c r="I207" s="245"/>
      <c r="J207" s="245"/>
      <c r="K207" s="274"/>
    </row>
    <row r="208" spans="1:11" ht="12" outlineLevel="2" x14ac:dyDescent="0.2">
      <c r="A208" s="247">
        <v>101</v>
      </c>
      <c r="B208" s="245"/>
      <c r="C208" s="250" t="s">
        <v>199</v>
      </c>
      <c r="D208" s="252" t="s">
        <v>200</v>
      </c>
      <c r="E208" s="254">
        <f t="shared" si="1"/>
        <v>1</v>
      </c>
      <c r="F208" s="255">
        <v>139775</v>
      </c>
      <c r="G208" s="27">
        <v>139775</v>
      </c>
      <c r="H208" s="28"/>
      <c r="I208" s="245">
        <v>8414807300</v>
      </c>
      <c r="J208" s="245"/>
      <c r="K208" s="274"/>
    </row>
    <row r="209" spans="1:11" ht="12" outlineLevel="2" x14ac:dyDescent="0.2">
      <c r="A209" s="247"/>
      <c r="B209" s="245"/>
      <c r="C209" s="250"/>
      <c r="D209" s="252"/>
      <c r="E209" s="254"/>
      <c r="F209" s="255">
        <v>1</v>
      </c>
      <c r="G209" s="29">
        <v>1</v>
      </c>
      <c r="H209" s="28"/>
      <c r="I209" s="245"/>
      <c r="J209" s="245"/>
      <c r="K209" s="274"/>
    </row>
    <row r="210" spans="1:11" ht="12" customHeight="1" outlineLevel="2" x14ac:dyDescent="0.2">
      <c r="A210" s="259">
        <v>102</v>
      </c>
      <c r="B210" s="260"/>
      <c r="C210" s="261" t="s">
        <v>201</v>
      </c>
      <c r="D210" s="262" t="s">
        <v>202</v>
      </c>
      <c r="E210" s="263">
        <f t="shared" si="1"/>
        <v>1</v>
      </c>
      <c r="F210" s="264">
        <v>680.83</v>
      </c>
      <c r="G210" s="49">
        <v>680.83</v>
      </c>
      <c r="H210" s="34"/>
      <c r="I210" s="260"/>
      <c r="J210" s="260"/>
      <c r="K210" s="273" t="s">
        <v>448</v>
      </c>
    </row>
    <row r="211" spans="1:11" ht="12" outlineLevel="2" x14ac:dyDescent="0.2">
      <c r="A211" s="259"/>
      <c r="B211" s="260"/>
      <c r="C211" s="261"/>
      <c r="D211" s="262"/>
      <c r="E211" s="263"/>
      <c r="F211" s="264">
        <v>1</v>
      </c>
      <c r="G211" s="35">
        <v>1</v>
      </c>
      <c r="H211" s="34"/>
      <c r="I211" s="260"/>
      <c r="J211" s="260"/>
      <c r="K211" s="273"/>
    </row>
    <row r="212" spans="1:11" ht="12" outlineLevel="2" x14ac:dyDescent="0.2">
      <c r="A212" s="259">
        <v>103</v>
      </c>
      <c r="B212" s="260"/>
      <c r="C212" s="261" t="s">
        <v>203</v>
      </c>
      <c r="D212" s="262" t="s">
        <v>204</v>
      </c>
      <c r="E212" s="263">
        <f t="shared" si="1"/>
        <v>1</v>
      </c>
      <c r="F212" s="264">
        <v>15000</v>
      </c>
      <c r="G212" s="33">
        <v>15000</v>
      </c>
      <c r="H212" s="34"/>
      <c r="I212" s="260"/>
      <c r="J212" s="260"/>
      <c r="K212" s="275" t="s">
        <v>458</v>
      </c>
    </row>
    <row r="213" spans="1:11" ht="12" outlineLevel="2" x14ac:dyDescent="0.2">
      <c r="A213" s="259"/>
      <c r="B213" s="260"/>
      <c r="C213" s="261"/>
      <c r="D213" s="262"/>
      <c r="E213" s="263"/>
      <c r="F213" s="264">
        <v>1</v>
      </c>
      <c r="G213" s="35">
        <v>1</v>
      </c>
      <c r="H213" s="34"/>
      <c r="I213" s="260"/>
      <c r="J213" s="260"/>
      <c r="K213" s="275"/>
    </row>
    <row r="214" spans="1:11" ht="12" outlineLevel="2" x14ac:dyDescent="0.2">
      <c r="A214" s="259">
        <v>104</v>
      </c>
      <c r="B214" s="260"/>
      <c r="C214" s="261" t="s">
        <v>203</v>
      </c>
      <c r="D214" s="262" t="s">
        <v>205</v>
      </c>
      <c r="E214" s="263">
        <f t="shared" si="1"/>
        <v>1</v>
      </c>
      <c r="F214" s="264">
        <v>16000</v>
      </c>
      <c r="G214" s="33">
        <v>16000</v>
      </c>
      <c r="H214" s="34"/>
      <c r="I214" s="260"/>
      <c r="J214" s="260"/>
      <c r="K214" s="275" t="s">
        <v>458</v>
      </c>
    </row>
    <row r="215" spans="1:11" ht="12" outlineLevel="2" x14ac:dyDescent="0.2">
      <c r="A215" s="259"/>
      <c r="B215" s="260"/>
      <c r="C215" s="261"/>
      <c r="D215" s="262"/>
      <c r="E215" s="263"/>
      <c r="F215" s="264">
        <v>1</v>
      </c>
      <c r="G215" s="35">
        <v>1</v>
      </c>
      <c r="H215" s="34"/>
      <c r="I215" s="260"/>
      <c r="J215" s="260"/>
      <c r="K215" s="275"/>
    </row>
    <row r="216" spans="1:11" ht="12" outlineLevel="2" x14ac:dyDescent="0.2">
      <c r="A216" s="259">
        <v>105</v>
      </c>
      <c r="B216" s="260"/>
      <c r="C216" s="261" t="s">
        <v>203</v>
      </c>
      <c r="D216" s="262" t="s">
        <v>206</v>
      </c>
      <c r="E216" s="263">
        <f t="shared" si="1"/>
        <v>1</v>
      </c>
      <c r="F216" s="264">
        <v>6800</v>
      </c>
      <c r="G216" s="33">
        <v>6800</v>
      </c>
      <c r="H216" s="34"/>
      <c r="I216" s="260"/>
      <c r="J216" s="260"/>
      <c r="K216" s="275" t="s">
        <v>458</v>
      </c>
    </row>
    <row r="217" spans="1:11" ht="12" outlineLevel="2" x14ac:dyDescent="0.2">
      <c r="A217" s="259"/>
      <c r="B217" s="260"/>
      <c r="C217" s="261"/>
      <c r="D217" s="262"/>
      <c r="E217" s="263"/>
      <c r="F217" s="264">
        <v>1</v>
      </c>
      <c r="G217" s="35">
        <v>1</v>
      </c>
      <c r="H217" s="34"/>
      <c r="I217" s="260"/>
      <c r="J217" s="260"/>
      <c r="K217" s="275"/>
    </row>
    <row r="218" spans="1:11" ht="12" outlineLevel="2" x14ac:dyDescent="0.2">
      <c r="A218" s="259">
        <v>106</v>
      </c>
      <c r="B218" s="260"/>
      <c r="C218" s="261" t="s">
        <v>203</v>
      </c>
      <c r="D218" s="262" t="s">
        <v>207</v>
      </c>
      <c r="E218" s="263">
        <f t="shared" si="1"/>
        <v>1</v>
      </c>
      <c r="F218" s="264">
        <v>7550</v>
      </c>
      <c r="G218" s="33">
        <v>7550</v>
      </c>
      <c r="H218" s="34"/>
      <c r="I218" s="260"/>
      <c r="J218" s="260"/>
      <c r="K218" s="275" t="s">
        <v>458</v>
      </c>
    </row>
    <row r="219" spans="1:11" ht="12" outlineLevel="2" x14ac:dyDescent="0.2">
      <c r="A219" s="259"/>
      <c r="B219" s="260"/>
      <c r="C219" s="261"/>
      <c r="D219" s="262"/>
      <c r="E219" s="263"/>
      <c r="F219" s="264">
        <v>1</v>
      </c>
      <c r="G219" s="35">
        <v>1</v>
      </c>
      <c r="H219" s="34"/>
      <c r="I219" s="260"/>
      <c r="J219" s="260"/>
      <c r="K219" s="275"/>
    </row>
    <row r="220" spans="1:11" ht="12" outlineLevel="2" x14ac:dyDescent="0.2">
      <c r="A220" s="259">
        <v>107</v>
      </c>
      <c r="B220" s="260"/>
      <c r="C220" s="261" t="s">
        <v>203</v>
      </c>
      <c r="D220" s="262" t="s">
        <v>208</v>
      </c>
      <c r="E220" s="263">
        <f t="shared" si="1"/>
        <v>1</v>
      </c>
      <c r="F220" s="264">
        <v>4950</v>
      </c>
      <c r="G220" s="33">
        <v>4950</v>
      </c>
      <c r="H220" s="34"/>
      <c r="I220" s="260"/>
      <c r="J220" s="260"/>
      <c r="K220" s="275" t="s">
        <v>458</v>
      </c>
    </row>
    <row r="221" spans="1:11" ht="12" outlineLevel="2" x14ac:dyDescent="0.2">
      <c r="A221" s="259"/>
      <c r="B221" s="260"/>
      <c r="C221" s="261"/>
      <c r="D221" s="262"/>
      <c r="E221" s="263"/>
      <c r="F221" s="264">
        <v>1</v>
      </c>
      <c r="G221" s="35">
        <v>1</v>
      </c>
      <c r="H221" s="34"/>
      <c r="I221" s="260"/>
      <c r="J221" s="260"/>
      <c r="K221" s="275"/>
    </row>
    <row r="222" spans="1:11" ht="12" outlineLevel="2" x14ac:dyDescent="0.2">
      <c r="A222" s="259">
        <v>108</v>
      </c>
      <c r="B222" s="260"/>
      <c r="C222" s="261" t="s">
        <v>209</v>
      </c>
      <c r="D222" s="262" t="s">
        <v>210</v>
      </c>
      <c r="E222" s="263">
        <f t="shared" si="1"/>
        <v>2</v>
      </c>
      <c r="F222" s="264">
        <v>10</v>
      </c>
      <c r="G222" s="49">
        <v>10</v>
      </c>
      <c r="H222" s="34"/>
      <c r="I222" s="260"/>
      <c r="J222" s="260"/>
      <c r="K222" s="275" t="s">
        <v>458</v>
      </c>
    </row>
    <row r="223" spans="1:11" ht="12" outlineLevel="2" x14ac:dyDescent="0.2">
      <c r="A223" s="259"/>
      <c r="B223" s="260"/>
      <c r="C223" s="261"/>
      <c r="D223" s="262"/>
      <c r="E223" s="263"/>
      <c r="F223" s="264">
        <v>2</v>
      </c>
      <c r="G223" s="35">
        <v>2</v>
      </c>
      <c r="H223" s="34"/>
      <c r="I223" s="260"/>
      <c r="J223" s="260"/>
      <c r="K223" s="275"/>
    </row>
    <row r="224" spans="1:11" ht="12" outlineLevel="2" x14ac:dyDescent="0.2">
      <c r="A224" s="259">
        <v>109</v>
      </c>
      <c r="B224" s="260"/>
      <c r="C224" s="261" t="s">
        <v>211</v>
      </c>
      <c r="D224" s="262" t="s">
        <v>212</v>
      </c>
      <c r="E224" s="263">
        <f t="shared" si="1"/>
        <v>1</v>
      </c>
      <c r="F224" s="264">
        <v>5</v>
      </c>
      <c r="G224" s="49">
        <v>5</v>
      </c>
      <c r="H224" s="34"/>
      <c r="I224" s="260"/>
      <c r="J224" s="260"/>
      <c r="K224" s="275" t="s">
        <v>458</v>
      </c>
    </row>
    <row r="225" spans="1:11" ht="12" outlineLevel="2" x14ac:dyDescent="0.2">
      <c r="A225" s="259"/>
      <c r="B225" s="260"/>
      <c r="C225" s="261"/>
      <c r="D225" s="262"/>
      <c r="E225" s="263"/>
      <c r="F225" s="264">
        <v>1</v>
      </c>
      <c r="G225" s="35">
        <v>1</v>
      </c>
      <c r="H225" s="34"/>
      <c r="I225" s="260"/>
      <c r="J225" s="260"/>
      <c r="K225" s="275"/>
    </row>
    <row r="226" spans="1:11" ht="12" outlineLevel="2" x14ac:dyDescent="0.2">
      <c r="A226" s="259">
        <v>110</v>
      </c>
      <c r="B226" s="260"/>
      <c r="C226" s="261" t="s">
        <v>213</v>
      </c>
      <c r="D226" s="262" t="s">
        <v>214</v>
      </c>
      <c r="E226" s="263">
        <f t="shared" si="1"/>
        <v>1</v>
      </c>
      <c r="F226" s="264">
        <v>2817.5</v>
      </c>
      <c r="G226" s="33">
        <v>2817.5</v>
      </c>
      <c r="H226" s="34"/>
      <c r="I226" s="260"/>
      <c r="J226" s="260"/>
      <c r="K226" s="275" t="s">
        <v>457</v>
      </c>
    </row>
    <row r="227" spans="1:11" ht="12" outlineLevel="2" x14ac:dyDescent="0.2">
      <c r="A227" s="259"/>
      <c r="B227" s="260"/>
      <c r="C227" s="261"/>
      <c r="D227" s="262"/>
      <c r="E227" s="263"/>
      <c r="F227" s="264">
        <v>1</v>
      </c>
      <c r="G227" s="35">
        <v>1</v>
      </c>
      <c r="H227" s="34"/>
      <c r="I227" s="260"/>
      <c r="J227" s="260"/>
      <c r="K227" s="275"/>
    </row>
    <row r="228" spans="1:11" ht="12" outlineLevel="2" x14ac:dyDescent="0.2">
      <c r="A228" s="259">
        <v>111</v>
      </c>
      <c r="B228" s="260"/>
      <c r="C228" s="261" t="s">
        <v>215</v>
      </c>
      <c r="D228" s="262" t="s">
        <v>216</v>
      </c>
      <c r="E228" s="263">
        <f t="shared" si="1"/>
        <v>3</v>
      </c>
      <c r="F228" s="264">
        <v>167955</v>
      </c>
      <c r="G228" s="33">
        <v>167955</v>
      </c>
      <c r="H228" s="34"/>
      <c r="I228" s="260"/>
      <c r="J228" s="260">
        <v>8992</v>
      </c>
      <c r="K228" s="275">
        <v>8992</v>
      </c>
    </row>
    <row r="229" spans="1:11" ht="12" outlineLevel="2" x14ac:dyDescent="0.2">
      <c r="A229" s="259"/>
      <c r="B229" s="260"/>
      <c r="C229" s="261"/>
      <c r="D229" s="262"/>
      <c r="E229" s="263"/>
      <c r="F229" s="264">
        <v>3</v>
      </c>
      <c r="G229" s="35">
        <v>3</v>
      </c>
      <c r="H229" s="34"/>
      <c r="I229" s="260"/>
      <c r="J229" s="260"/>
      <c r="K229" s="275"/>
    </row>
    <row r="230" spans="1:11" ht="12" outlineLevel="2" x14ac:dyDescent="0.2">
      <c r="A230" s="259">
        <v>112</v>
      </c>
      <c r="B230" s="260"/>
      <c r="C230" s="261" t="s">
        <v>217</v>
      </c>
      <c r="D230" s="262" t="s">
        <v>218</v>
      </c>
      <c r="E230" s="263">
        <f t="shared" si="1"/>
        <v>3</v>
      </c>
      <c r="F230" s="264">
        <v>728955</v>
      </c>
      <c r="G230" s="33">
        <v>728955</v>
      </c>
      <c r="H230" s="34"/>
      <c r="I230" s="260"/>
      <c r="J230" s="260">
        <v>697</v>
      </c>
      <c r="K230" s="275">
        <v>697</v>
      </c>
    </row>
    <row r="231" spans="1:11" ht="12" outlineLevel="2" x14ac:dyDescent="0.2">
      <c r="A231" s="259"/>
      <c r="B231" s="260"/>
      <c r="C231" s="261"/>
      <c r="D231" s="262"/>
      <c r="E231" s="263"/>
      <c r="F231" s="264">
        <v>3</v>
      </c>
      <c r="G231" s="35">
        <v>3</v>
      </c>
      <c r="H231" s="34"/>
      <c r="I231" s="260"/>
      <c r="J231" s="260"/>
      <c r="K231" s="275"/>
    </row>
    <row r="232" spans="1:11" ht="12" outlineLevel="2" x14ac:dyDescent="0.2">
      <c r="A232" s="259">
        <v>113</v>
      </c>
      <c r="B232" s="260"/>
      <c r="C232" s="261" t="s">
        <v>219</v>
      </c>
      <c r="D232" s="262" t="s">
        <v>220</v>
      </c>
      <c r="E232" s="263">
        <f t="shared" si="1"/>
        <v>1</v>
      </c>
      <c r="F232" s="264">
        <v>22700</v>
      </c>
      <c r="G232" s="33">
        <v>22700</v>
      </c>
      <c r="H232" s="34"/>
      <c r="I232" s="260"/>
      <c r="J232" s="260">
        <v>1318</v>
      </c>
      <c r="K232" s="275">
        <v>1318</v>
      </c>
    </row>
    <row r="233" spans="1:11" ht="12" outlineLevel="2" x14ac:dyDescent="0.2">
      <c r="A233" s="259"/>
      <c r="B233" s="260"/>
      <c r="C233" s="261"/>
      <c r="D233" s="262"/>
      <c r="E233" s="263"/>
      <c r="F233" s="264">
        <v>1</v>
      </c>
      <c r="G233" s="35">
        <v>1</v>
      </c>
      <c r="H233" s="34"/>
      <c r="I233" s="260"/>
      <c r="J233" s="260"/>
      <c r="K233" s="275"/>
    </row>
    <row r="234" spans="1:11" ht="12" outlineLevel="2" x14ac:dyDescent="0.2">
      <c r="A234" s="259">
        <v>114</v>
      </c>
      <c r="B234" s="260"/>
      <c r="C234" s="261" t="s">
        <v>221</v>
      </c>
      <c r="D234" s="262" t="s">
        <v>222</v>
      </c>
      <c r="E234" s="263">
        <f t="shared" si="1"/>
        <v>1</v>
      </c>
      <c r="F234" s="264">
        <v>110500</v>
      </c>
      <c r="G234" s="33">
        <v>110500</v>
      </c>
      <c r="H234" s="34"/>
      <c r="I234" s="260"/>
      <c r="J234" s="260">
        <v>1307</v>
      </c>
      <c r="K234" s="275">
        <v>1307</v>
      </c>
    </row>
    <row r="235" spans="1:11" ht="12" outlineLevel="2" x14ac:dyDescent="0.2">
      <c r="A235" s="259"/>
      <c r="B235" s="260"/>
      <c r="C235" s="261"/>
      <c r="D235" s="262"/>
      <c r="E235" s="263"/>
      <c r="F235" s="264">
        <v>1</v>
      </c>
      <c r="G235" s="35">
        <v>1</v>
      </c>
      <c r="H235" s="34"/>
      <c r="I235" s="260"/>
      <c r="J235" s="260"/>
      <c r="K235" s="275"/>
    </row>
    <row r="236" spans="1:11" ht="12" outlineLevel="2" x14ac:dyDescent="0.2">
      <c r="A236" s="259">
        <v>115</v>
      </c>
      <c r="B236" s="260"/>
      <c r="C236" s="261" t="s">
        <v>223</v>
      </c>
      <c r="D236" s="262" t="s">
        <v>224</v>
      </c>
      <c r="E236" s="263">
        <f t="shared" si="1"/>
        <v>6</v>
      </c>
      <c r="F236" s="264">
        <v>450000</v>
      </c>
      <c r="G236" s="33">
        <v>450000</v>
      </c>
      <c r="H236" s="34"/>
      <c r="I236" s="260"/>
      <c r="J236" s="260">
        <v>7806</v>
      </c>
      <c r="K236" s="275">
        <v>7806</v>
      </c>
    </row>
    <row r="237" spans="1:11" ht="12" outlineLevel="2" x14ac:dyDescent="0.2">
      <c r="A237" s="259"/>
      <c r="B237" s="260"/>
      <c r="C237" s="261"/>
      <c r="D237" s="262"/>
      <c r="E237" s="263"/>
      <c r="F237" s="264">
        <v>6</v>
      </c>
      <c r="G237" s="35">
        <v>6</v>
      </c>
      <c r="H237" s="34"/>
      <c r="I237" s="260"/>
      <c r="J237" s="260"/>
      <c r="K237" s="275"/>
    </row>
    <row r="238" spans="1:11" ht="12" outlineLevel="2" x14ac:dyDescent="0.2">
      <c r="A238" s="259">
        <v>116</v>
      </c>
      <c r="B238" s="260"/>
      <c r="C238" s="261" t="s">
        <v>225</v>
      </c>
      <c r="D238" s="262" t="s">
        <v>226</v>
      </c>
      <c r="E238" s="263">
        <f t="shared" si="1"/>
        <v>1</v>
      </c>
      <c r="F238" s="264">
        <v>40352</v>
      </c>
      <c r="G238" s="33">
        <v>40352</v>
      </c>
      <c r="H238" s="34"/>
      <c r="I238" s="260"/>
      <c r="J238" s="260"/>
      <c r="K238" s="275"/>
    </row>
    <row r="239" spans="1:11" ht="12" outlineLevel="2" x14ac:dyDescent="0.2">
      <c r="A239" s="259"/>
      <c r="B239" s="260"/>
      <c r="C239" s="261"/>
      <c r="D239" s="262"/>
      <c r="E239" s="263"/>
      <c r="F239" s="264">
        <v>1</v>
      </c>
      <c r="G239" s="35">
        <v>1</v>
      </c>
      <c r="H239" s="34"/>
      <c r="I239" s="260"/>
      <c r="J239" s="260"/>
      <c r="K239" s="275"/>
    </row>
    <row r="240" spans="1:11" ht="12" outlineLevel="2" x14ac:dyDescent="0.2">
      <c r="A240" s="259">
        <v>117</v>
      </c>
      <c r="B240" s="260"/>
      <c r="C240" s="261" t="s">
        <v>227</v>
      </c>
      <c r="D240" s="262" t="s">
        <v>228</v>
      </c>
      <c r="E240" s="263">
        <f t="shared" si="1"/>
        <v>1</v>
      </c>
      <c r="F240" s="264">
        <v>65200</v>
      </c>
      <c r="G240" s="33">
        <v>65200</v>
      </c>
      <c r="H240" s="34"/>
      <c r="I240" s="260"/>
      <c r="J240" s="260">
        <v>1688</v>
      </c>
      <c r="K240" s="275">
        <v>1688</v>
      </c>
    </row>
    <row r="241" spans="1:11" ht="12" outlineLevel="2" x14ac:dyDescent="0.2">
      <c r="A241" s="259"/>
      <c r="B241" s="260"/>
      <c r="C241" s="261"/>
      <c r="D241" s="262"/>
      <c r="E241" s="263"/>
      <c r="F241" s="264">
        <v>1</v>
      </c>
      <c r="G241" s="35">
        <v>1</v>
      </c>
      <c r="H241" s="34"/>
      <c r="I241" s="260"/>
      <c r="J241" s="260"/>
      <c r="K241" s="275"/>
    </row>
    <row r="242" spans="1:11" ht="12" outlineLevel="2" x14ac:dyDescent="0.2">
      <c r="A242" s="259">
        <v>118</v>
      </c>
      <c r="B242" s="260"/>
      <c r="C242" s="261" t="s">
        <v>229</v>
      </c>
      <c r="D242" s="262" t="s">
        <v>230</v>
      </c>
      <c r="E242" s="263">
        <f t="shared" si="1"/>
        <v>1</v>
      </c>
      <c r="F242" s="264">
        <v>65200</v>
      </c>
      <c r="G242" s="33">
        <v>65200</v>
      </c>
      <c r="H242" s="34"/>
      <c r="I242" s="260"/>
      <c r="J242" s="260">
        <v>1690</v>
      </c>
      <c r="K242" s="275">
        <v>1690</v>
      </c>
    </row>
    <row r="243" spans="1:11" ht="12" outlineLevel="2" x14ac:dyDescent="0.2">
      <c r="A243" s="259"/>
      <c r="B243" s="260"/>
      <c r="C243" s="261"/>
      <c r="D243" s="262"/>
      <c r="E243" s="263"/>
      <c r="F243" s="264">
        <v>1</v>
      </c>
      <c r="G243" s="35">
        <v>1</v>
      </c>
      <c r="H243" s="34"/>
      <c r="I243" s="260"/>
      <c r="J243" s="260"/>
      <c r="K243" s="275"/>
    </row>
    <row r="244" spans="1:11" ht="12" outlineLevel="2" x14ac:dyDescent="0.2">
      <c r="A244" s="259">
        <v>119</v>
      </c>
      <c r="B244" s="260"/>
      <c r="C244" s="261" t="s">
        <v>231</v>
      </c>
      <c r="D244" s="262" t="s">
        <v>232</v>
      </c>
      <c r="E244" s="263">
        <f t="shared" si="1"/>
        <v>1</v>
      </c>
      <c r="F244" s="264">
        <v>9100</v>
      </c>
      <c r="G244" s="33">
        <v>9100</v>
      </c>
      <c r="H244" s="34"/>
      <c r="I244" s="260"/>
      <c r="J244" s="260">
        <v>7406</v>
      </c>
      <c r="K244" s="275">
        <v>7406</v>
      </c>
    </row>
    <row r="245" spans="1:11" ht="12" outlineLevel="2" x14ac:dyDescent="0.2">
      <c r="A245" s="259"/>
      <c r="B245" s="260"/>
      <c r="C245" s="261"/>
      <c r="D245" s="262"/>
      <c r="E245" s="263"/>
      <c r="F245" s="264">
        <v>1</v>
      </c>
      <c r="G245" s="35">
        <v>1</v>
      </c>
      <c r="H245" s="34"/>
      <c r="I245" s="260"/>
      <c r="J245" s="260"/>
      <c r="K245" s="275"/>
    </row>
    <row r="246" spans="1:11" ht="12" outlineLevel="2" x14ac:dyDescent="0.2">
      <c r="A246" s="259">
        <v>120</v>
      </c>
      <c r="B246" s="260"/>
      <c r="C246" s="261" t="s">
        <v>233</v>
      </c>
      <c r="D246" s="262" t="s">
        <v>234</v>
      </c>
      <c r="E246" s="263">
        <f t="shared" si="1"/>
        <v>1</v>
      </c>
      <c r="F246" s="264">
        <v>10700</v>
      </c>
      <c r="G246" s="33">
        <v>10700</v>
      </c>
      <c r="H246" s="34"/>
      <c r="I246" s="260"/>
      <c r="J246" s="260">
        <v>5641</v>
      </c>
      <c r="K246" s="275">
        <v>5641</v>
      </c>
    </row>
    <row r="247" spans="1:11" ht="12" outlineLevel="2" x14ac:dyDescent="0.2">
      <c r="A247" s="259"/>
      <c r="B247" s="260"/>
      <c r="C247" s="261"/>
      <c r="D247" s="262"/>
      <c r="E247" s="263"/>
      <c r="F247" s="264">
        <v>1</v>
      </c>
      <c r="G247" s="35">
        <v>1</v>
      </c>
      <c r="H247" s="34"/>
      <c r="I247" s="260"/>
      <c r="J247" s="260"/>
      <c r="K247" s="275"/>
    </row>
    <row r="248" spans="1:11" ht="12" outlineLevel="2" x14ac:dyDescent="0.2">
      <c r="A248" s="259">
        <v>121</v>
      </c>
      <c r="B248" s="260"/>
      <c r="C248" s="261" t="s">
        <v>235</v>
      </c>
      <c r="D248" s="262" t="s">
        <v>236</v>
      </c>
      <c r="E248" s="263">
        <f t="shared" si="1"/>
        <v>1</v>
      </c>
      <c r="F248" s="264">
        <v>10700</v>
      </c>
      <c r="G248" s="33">
        <v>10700</v>
      </c>
      <c r="H248" s="34"/>
      <c r="I248" s="260"/>
      <c r="J248" s="260">
        <v>8311</v>
      </c>
      <c r="K248" s="275">
        <v>8311</v>
      </c>
    </row>
    <row r="249" spans="1:11" ht="12" outlineLevel="2" x14ac:dyDescent="0.2">
      <c r="A249" s="259"/>
      <c r="B249" s="260"/>
      <c r="C249" s="261"/>
      <c r="D249" s="262"/>
      <c r="E249" s="263"/>
      <c r="F249" s="264">
        <v>1</v>
      </c>
      <c r="G249" s="35">
        <v>1</v>
      </c>
      <c r="H249" s="34"/>
      <c r="I249" s="260"/>
      <c r="J249" s="260"/>
      <c r="K249" s="275"/>
    </row>
    <row r="250" spans="1:11" ht="12" outlineLevel="2" x14ac:dyDescent="0.2">
      <c r="A250" s="259">
        <v>122</v>
      </c>
      <c r="B250" s="260"/>
      <c r="C250" s="261" t="s">
        <v>237</v>
      </c>
      <c r="D250" s="262" t="s">
        <v>238</v>
      </c>
      <c r="E250" s="263">
        <f t="shared" si="1"/>
        <v>1</v>
      </c>
      <c r="F250" s="264">
        <v>7500</v>
      </c>
      <c r="G250" s="33">
        <v>7500</v>
      </c>
      <c r="H250" s="34"/>
      <c r="I250" s="260"/>
      <c r="J250" s="260">
        <v>7317</v>
      </c>
      <c r="K250" s="275">
        <v>7317</v>
      </c>
    </row>
    <row r="251" spans="1:11" ht="12" outlineLevel="2" x14ac:dyDescent="0.2">
      <c r="A251" s="259"/>
      <c r="B251" s="260"/>
      <c r="C251" s="261"/>
      <c r="D251" s="262"/>
      <c r="E251" s="263"/>
      <c r="F251" s="264">
        <v>1</v>
      </c>
      <c r="G251" s="35">
        <v>1</v>
      </c>
      <c r="H251" s="34"/>
      <c r="I251" s="260"/>
      <c r="J251" s="260"/>
      <c r="K251" s="275"/>
    </row>
    <row r="252" spans="1:11" ht="12" outlineLevel="2" x14ac:dyDescent="0.2">
      <c r="A252" s="259">
        <v>123</v>
      </c>
      <c r="B252" s="260"/>
      <c r="C252" s="261" t="s">
        <v>239</v>
      </c>
      <c r="D252" s="262" t="s">
        <v>240</v>
      </c>
      <c r="E252" s="263">
        <f t="shared" si="1"/>
        <v>1</v>
      </c>
      <c r="F252" s="264">
        <v>60700</v>
      </c>
      <c r="G252" s="33">
        <v>60700</v>
      </c>
      <c r="H252" s="34"/>
      <c r="I252" s="260"/>
      <c r="J252" s="260">
        <v>5640</v>
      </c>
      <c r="K252" s="275">
        <v>5640</v>
      </c>
    </row>
    <row r="253" spans="1:11" ht="12" outlineLevel="2" x14ac:dyDescent="0.2">
      <c r="A253" s="259"/>
      <c r="B253" s="260"/>
      <c r="C253" s="261"/>
      <c r="D253" s="262"/>
      <c r="E253" s="263"/>
      <c r="F253" s="264">
        <v>1</v>
      </c>
      <c r="G253" s="35">
        <v>1</v>
      </c>
      <c r="H253" s="34"/>
      <c r="I253" s="260"/>
      <c r="J253" s="260"/>
      <c r="K253" s="275"/>
    </row>
    <row r="254" spans="1:11" ht="12" outlineLevel="2" x14ac:dyDescent="0.2">
      <c r="A254" s="259">
        <v>124</v>
      </c>
      <c r="B254" s="260"/>
      <c r="C254" s="261" t="s">
        <v>241</v>
      </c>
      <c r="D254" s="262" t="s">
        <v>242</v>
      </c>
      <c r="E254" s="263">
        <f t="shared" si="1"/>
        <v>2</v>
      </c>
      <c r="F254" s="264">
        <v>91600</v>
      </c>
      <c r="G254" s="33">
        <v>91600</v>
      </c>
      <c r="H254" s="34"/>
      <c r="I254" s="260"/>
      <c r="J254" s="260"/>
      <c r="K254" s="275"/>
    </row>
    <row r="255" spans="1:11" ht="12" outlineLevel="2" x14ac:dyDescent="0.2">
      <c r="A255" s="259"/>
      <c r="B255" s="260"/>
      <c r="C255" s="261"/>
      <c r="D255" s="262"/>
      <c r="E255" s="263"/>
      <c r="F255" s="264">
        <v>2</v>
      </c>
      <c r="G255" s="35">
        <v>2</v>
      </c>
      <c r="H255" s="34"/>
      <c r="I255" s="260"/>
      <c r="J255" s="260"/>
      <c r="K255" s="275"/>
    </row>
    <row r="256" spans="1:11" ht="12" outlineLevel="2" x14ac:dyDescent="0.2">
      <c r="A256" s="259">
        <v>125</v>
      </c>
      <c r="B256" s="260"/>
      <c r="C256" s="261" t="s">
        <v>243</v>
      </c>
      <c r="D256" s="262" t="s">
        <v>244</v>
      </c>
      <c r="E256" s="263">
        <f t="shared" si="1"/>
        <v>2</v>
      </c>
      <c r="F256" s="264">
        <v>121200</v>
      </c>
      <c r="G256" s="33">
        <v>121200</v>
      </c>
      <c r="H256" s="34"/>
      <c r="I256" s="260"/>
      <c r="J256" s="260"/>
      <c r="K256" s="275"/>
    </row>
    <row r="257" spans="1:11" ht="12" outlineLevel="2" x14ac:dyDescent="0.2">
      <c r="A257" s="259"/>
      <c r="B257" s="260"/>
      <c r="C257" s="261"/>
      <c r="D257" s="262"/>
      <c r="E257" s="263"/>
      <c r="F257" s="264">
        <v>2</v>
      </c>
      <c r="G257" s="35">
        <v>2</v>
      </c>
      <c r="H257" s="34"/>
      <c r="I257" s="260"/>
      <c r="J257" s="260"/>
      <c r="K257" s="275"/>
    </row>
    <row r="258" spans="1:11" ht="12" outlineLevel="2" x14ac:dyDescent="0.2">
      <c r="A258" s="259">
        <v>126</v>
      </c>
      <c r="B258" s="260"/>
      <c r="C258" s="261" t="s">
        <v>245</v>
      </c>
      <c r="D258" s="262" t="s">
        <v>246</v>
      </c>
      <c r="E258" s="263">
        <f t="shared" si="1"/>
        <v>2</v>
      </c>
      <c r="F258" s="264">
        <v>121200</v>
      </c>
      <c r="G258" s="33">
        <v>121200</v>
      </c>
      <c r="H258" s="34"/>
      <c r="I258" s="260"/>
      <c r="J258" s="260"/>
      <c r="K258" s="275"/>
    </row>
    <row r="259" spans="1:11" ht="12" outlineLevel="2" x14ac:dyDescent="0.2">
      <c r="A259" s="259"/>
      <c r="B259" s="260"/>
      <c r="C259" s="261"/>
      <c r="D259" s="262"/>
      <c r="E259" s="263"/>
      <c r="F259" s="264">
        <v>2</v>
      </c>
      <c r="G259" s="35">
        <v>2</v>
      </c>
      <c r="H259" s="34"/>
      <c r="I259" s="260"/>
      <c r="J259" s="260"/>
      <c r="K259" s="275"/>
    </row>
    <row r="260" spans="1:11" ht="12" outlineLevel="2" x14ac:dyDescent="0.2">
      <c r="A260" s="259">
        <v>127</v>
      </c>
      <c r="B260" s="260"/>
      <c r="C260" s="261" t="s">
        <v>247</v>
      </c>
      <c r="D260" s="262" t="s">
        <v>248</v>
      </c>
      <c r="E260" s="263">
        <f t="shared" si="1"/>
        <v>1</v>
      </c>
      <c r="F260" s="264">
        <v>97700</v>
      </c>
      <c r="G260" s="33">
        <v>97700</v>
      </c>
      <c r="H260" s="34"/>
      <c r="I260" s="260"/>
      <c r="J260" s="260">
        <v>1308</v>
      </c>
      <c r="K260" s="275">
        <v>1308</v>
      </c>
    </row>
    <row r="261" spans="1:11" ht="12" outlineLevel="2" x14ac:dyDescent="0.2">
      <c r="A261" s="259"/>
      <c r="B261" s="260"/>
      <c r="C261" s="261"/>
      <c r="D261" s="262"/>
      <c r="E261" s="263"/>
      <c r="F261" s="264">
        <v>1</v>
      </c>
      <c r="G261" s="35">
        <v>1</v>
      </c>
      <c r="H261" s="34"/>
      <c r="I261" s="260"/>
      <c r="J261" s="260"/>
      <c r="K261" s="275"/>
    </row>
    <row r="262" spans="1:11" ht="12" outlineLevel="2" x14ac:dyDescent="0.2">
      <c r="A262" s="259">
        <v>128</v>
      </c>
      <c r="B262" s="260"/>
      <c r="C262" s="261" t="s">
        <v>249</v>
      </c>
      <c r="D262" s="262" t="s">
        <v>250</v>
      </c>
      <c r="E262" s="263">
        <f t="shared" ref="E262:E324" si="2">G263</f>
        <v>1</v>
      </c>
      <c r="F262" s="264">
        <v>53544</v>
      </c>
      <c r="G262" s="33">
        <v>53544</v>
      </c>
      <c r="H262" s="34"/>
      <c r="I262" s="260"/>
      <c r="J262" s="260">
        <v>7315</v>
      </c>
      <c r="K262" s="275">
        <v>7315</v>
      </c>
    </row>
    <row r="263" spans="1:11" ht="12" outlineLevel="2" x14ac:dyDescent="0.2">
      <c r="A263" s="259"/>
      <c r="B263" s="260"/>
      <c r="C263" s="261"/>
      <c r="D263" s="262"/>
      <c r="E263" s="263"/>
      <c r="F263" s="264">
        <v>1</v>
      </c>
      <c r="G263" s="35">
        <v>1</v>
      </c>
      <c r="H263" s="34"/>
      <c r="I263" s="260"/>
      <c r="J263" s="260"/>
      <c r="K263" s="275"/>
    </row>
    <row r="264" spans="1:11" ht="12" outlineLevel="2" x14ac:dyDescent="0.2">
      <c r="A264" s="259">
        <v>129</v>
      </c>
      <c r="B264" s="260"/>
      <c r="C264" s="261" t="s">
        <v>251</v>
      </c>
      <c r="D264" s="262" t="s">
        <v>252</v>
      </c>
      <c r="E264" s="263">
        <f t="shared" si="2"/>
        <v>1</v>
      </c>
      <c r="F264" s="264">
        <v>53544</v>
      </c>
      <c r="G264" s="33">
        <v>53544</v>
      </c>
      <c r="H264" s="34"/>
      <c r="I264" s="260"/>
      <c r="J264" s="260">
        <v>7316</v>
      </c>
      <c r="K264" s="275">
        <v>7316</v>
      </c>
    </row>
    <row r="265" spans="1:11" ht="12" outlineLevel="2" x14ac:dyDescent="0.2">
      <c r="A265" s="259"/>
      <c r="B265" s="260"/>
      <c r="C265" s="261"/>
      <c r="D265" s="262"/>
      <c r="E265" s="263"/>
      <c r="F265" s="264">
        <v>1</v>
      </c>
      <c r="G265" s="35">
        <v>1</v>
      </c>
      <c r="H265" s="34"/>
      <c r="I265" s="260"/>
      <c r="J265" s="260"/>
      <c r="K265" s="275"/>
    </row>
    <row r="266" spans="1:11" ht="12" outlineLevel="2" x14ac:dyDescent="0.2">
      <c r="A266" s="259">
        <v>130</v>
      </c>
      <c r="B266" s="260"/>
      <c r="C266" s="261" t="s">
        <v>253</v>
      </c>
      <c r="D266" s="262" t="s">
        <v>254</v>
      </c>
      <c r="E266" s="263">
        <f t="shared" si="2"/>
        <v>1</v>
      </c>
      <c r="F266" s="264">
        <v>31719</v>
      </c>
      <c r="G266" s="33">
        <v>31719</v>
      </c>
      <c r="H266" s="34"/>
      <c r="I266" s="260"/>
      <c r="J266" s="260"/>
      <c r="K266" s="275"/>
    </row>
    <row r="267" spans="1:11" ht="12" outlineLevel="2" x14ac:dyDescent="0.2">
      <c r="A267" s="259"/>
      <c r="B267" s="260"/>
      <c r="C267" s="261"/>
      <c r="D267" s="262"/>
      <c r="E267" s="263"/>
      <c r="F267" s="264">
        <v>1</v>
      </c>
      <c r="G267" s="35">
        <v>1</v>
      </c>
      <c r="H267" s="34"/>
      <c r="I267" s="260"/>
      <c r="J267" s="260"/>
      <c r="K267" s="275"/>
    </row>
    <row r="268" spans="1:11" ht="12" outlineLevel="2" x14ac:dyDescent="0.2">
      <c r="A268" s="266">
        <v>131</v>
      </c>
      <c r="B268" s="267"/>
      <c r="C268" s="268" t="s">
        <v>255</v>
      </c>
      <c r="D268" s="269" t="s">
        <v>256</v>
      </c>
      <c r="E268" s="270">
        <f t="shared" si="2"/>
        <v>1</v>
      </c>
      <c r="F268" s="271">
        <v>4714876.32</v>
      </c>
      <c r="G268" s="38">
        <v>4714876.32</v>
      </c>
      <c r="H268" s="39"/>
      <c r="I268" s="267"/>
      <c r="J268" s="272"/>
      <c r="K268" s="292" t="s">
        <v>460</v>
      </c>
    </row>
    <row r="269" spans="1:11" ht="12" outlineLevel="2" x14ac:dyDescent="0.2">
      <c r="A269" s="266"/>
      <c r="B269" s="267"/>
      <c r="C269" s="268"/>
      <c r="D269" s="269"/>
      <c r="E269" s="270"/>
      <c r="F269" s="271">
        <v>1</v>
      </c>
      <c r="G269" s="40">
        <v>1</v>
      </c>
      <c r="H269" s="39"/>
      <c r="I269" s="267"/>
      <c r="J269" s="272"/>
      <c r="K269" s="292"/>
    </row>
    <row r="270" spans="1:11" ht="12" outlineLevel="2" x14ac:dyDescent="0.2">
      <c r="A270" s="266">
        <v>132</v>
      </c>
      <c r="B270" s="267"/>
      <c r="C270" s="268" t="s">
        <v>257</v>
      </c>
      <c r="D270" s="269" t="s">
        <v>258</v>
      </c>
      <c r="E270" s="270">
        <f t="shared" si="2"/>
        <v>1</v>
      </c>
      <c r="F270" s="271">
        <v>420785.22</v>
      </c>
      <c r="G270" s="38">
        <v>420785.22</v>
      </c>
      <c r="H270" s="39"/>
      <c r="I270" s="267"/>
      <c r="J270" s="272"/>
      <c r="K270" s="292" t="s">
        <v>460</v>
      </c>
    </row>
    <row r="271" spans="1:11" ht="12" outlineLevel="2" x14ac:dyDescent="0.2">
      <c r="A271" s="266"/>
      <c r="B271" s="267"/>
      <c r="C271" s="268"/>
      <c r="D271" s="269"/>
      <c r="E271" s="270"/>
      <c r="F271" s="271">
        <v>1</v>
      </c>
      <c r="G271" s="40">
        <v>1</v>
      </c>
      <c r="H271" s="39"/>
      <c r="I271" s="267"/>
      <c r="J271" s="272"/>
      <c r="K271" s="292"/>
    </row>
    <row r="272" spans="1:11" ht="12" outlineLevel="2" x14ac:dyDescent="0.2">
      <c r="A272" s="266">
        <v>133</v>
      </c>
      <c r="B272" s="267"/>
      <c r="C272" s="268" t="s">
        <v>259</v>
      </c>
      <c r="D272" s="269" t="s">
        <v>260</v>
      </c>
      <c r="E272" s="270">
        <f t="shared" si="2"/>
        <v>1</v>
      </c>
      <c r="F272" s="271">
        <v>359011.37</v>
      </c>
      <c r="G272" s="38">
        <v>359011.37</v>
      </c>
      <c r="H272" s="39"/>
      <c r="I272" s="267"/>
      <c r="J272" s="272"/>
      <c r="K272" s="292" t="s">
        <v>460</v>
      </c>
    </row>
    <row r="273" spans="1:13" ht="12" outlineLevel="2" x14ac:dyDescent="0.2">
      <c r="A273" s="266"/>
      <c r="B273" s="267"/>
      <c r="C273" s="268"/>
      <c r="D273" s="269"/>
      <c r="E273" s="270"/>
      <c r="F273" s="271">
        <v>1</v>
      </c>
      <c r="G273" s="40">
        <v>1</v>
      </c>
      <c r="H273" s="39"/>
      <c r="I273" s="267"/>
      <c r="J273" s="272"/>
      <c r="K273" s="292"/>
    </row>
    <row r="274" spans="1:13" ht="12" outlineLevel="2" x14ac:dyDescent="0.2">
      <c r="A274" s="266">
        <v>134</v>
      </c>
      <c r="B274" s="267"/>
      <c r="C274" s="268" t="s">
        <v>261</v>
      </c>
      <c r="D274" s="269" t="s">
        <v>262</v>
      </c>
      <c r="E274" s="270">
        <f t="shared" si="2"/>
        <v>1</v>
      </c>
      <c r="F274" s="271">
        <v>490916.09</v>
      </c>
      <c r="G274" s="38">
        <v>490916.09</v>
      </c>
      <c r="H274" s="39"/>
      <c r="I274" s="267"/>
      <c r="J274" s="272"/>
      <c r="K274" s="292" t="s">
        <v>460</v>
      </c>
    </row>
    <row r="275" spans="1:13" ht="12" outlineLevel="2" x14ac:dyDescent="0.2">
      <c r="A275" s="266"/>
      <c r="B275" s="267"/>
      <c r="C275" s="268"/>
      <c r="D275" s="269"/>
      <c r="E275" s="270"/>
      <c r="F275" s="271">
        <v>1</v>
      </c>
      <c r="G275" s="40">
        <v>1</v>
      </c>
      <c r="H275" s="39"/>
      <c r="I275" s="267"/>
      <c r="J275" s="272"/>
      <c r="K275" s="292"/>
    </row>
    <row r="276" spans="1:13" ht="12" outlineLevel="2" x14ac:dyDescent="0.2">
      <c r="A276" s="266">
        <v>135</v>
      </c>
      <c r="B276" s="267"/>
      <c r="C276" s="268" t="s">
        <v>263</v>
      </c>
      <c r="D276" s="269" t="s">
        <v>264</v>
      </c>
      <c r="E276" s="270">
        <f t="shared" si="2"/>
        <v>1</v>
      </c>
      <c r="F276" s="271">
        <v>3347424.29</v>
      </c>
      <c r="G276" s="38">
        <v>3347424.29</v>
      </c>
      <c r="H276" s="39"/>
      <c r="I276" s="267"/>
      <c r="J276" s="272"/>
      <c r="K276" s="292" t="s">
        <v>954</v>
      </c>
    </row>
    <row r="277" spans="1:13" ht="12" outlineLevel="2" x14ac:dyDescent="0.2">
      <c r="A277" s="266"/>
      <c r="B277" s="267"/>
      <c r="C277" s="268"/>
      <c r="D277" s="269"/>
      <c r="E277" s="270"/>
      <c r="F277" s="271">
        <v>1</v>
      </c>
      <c r="G277" s="40">
        <v>1</v>
      </c>
      <c r="H277" s="39"/>
      <c r="I277" s="267"/>
      <c r="J277" s="272"/>
      <c r="K277" s="292"/>
    </row>
    <row r="278" spans="1:13" ht="12" outlineLevel="2" x14ac:dyDescent="0.2">
      <c r="A278" s="266">
        <v>136</v>
      </c>
      <c r="B278" s="267"/>
      <c r="C278" s="268" t="s">
        <v>265</v>
      </c>
      <c r="D278" s="269" t="s">
        <v>266</v>
      </c>
      <c r="E278" s="270">
        <f t="shared" si="2"/>
        <v>1</v>
      </c>
      <c r="F278" s="271">
        <v>2718823.72</v>
      </c>
      <c r="G278" s="38">
        <v>2718823.72</v>
      </c>
      <c r="H278" s="39"/>
      <c r="I278" s="267"/>
      <c r="J278" s="272"/>
      <c r="K278" s="292" t="s">
        <v>954</v>
      </c>
    </row>
    <row r="279" spans="1:13" ht="12" outlineLevel="2" x14ac:dyDescent="0.2">
      <c r="A279" s="266"/>
      <c r="B279" s="267"/>
      <c r="C279" s="268"/>
      <c r="D279" s="269"/>
      <c r="E279" s="270"/>
      <c r="F279" s="271">
        <v>1</v>
      </c>
      <c r="G279" s="40">
        <v>1</v>
      </c>
      <c r="H279" s="39"/>
      <c r="I279" s="267"/>
      <c r="J279" s="272"/>
      <c r="K279" s="292"/>
    </row>
    <row r="280" spans="1:13" ht="12" outlineLevel="2" x14ac:dyDescent="0.2">
      <c r="A280" s="266">
        <v>137</v>
      </c>
      <c r="B280" s="267"/>
      <c r="C280" s="268" t="s">
        <v>267</v>
      </c>
      <c r="D280" s="269" t="s">
        <v>268</v>
      </c>
      <c r="E280" s="270">
        <f t="shared" si="2"/>
        <v>1</v>
      </c>
      <c r="F280" s="271">
        <v>3423658.12</v>
      </c>
      <c r="G280" s="38">
        <v>3423658.12</v>
      </c>
      <c r="H280" s="39"/>
      <c r="I280" s="267"/>
      <c r="J280" s="272"/>
      <c r="K280" s="292" t="s">
        <v>954</v>
      </c>
      <c r="L280" s="243"/>
      <c r="M280" s="51"/>
    </row>
    <row r="281" spans="1:13" ht="12" outlineLevel="2" x14ac:dyDescent="0.2">
      <c r="A281" s="266"/>
      <c r="B281" s="267"/>
      <c r="C281" s="268"/>
      <c r="D281" s="269"/>
      <c r="E281" s="270"/>
      <c r="F281" s="271">
        <v>1</v>
      </c>
      <c r="G281" s="40">
        <v>1</v>
      </c>
      <c r="H281" s="39"/>
      <c r="I281" s="267"/>
      <c r="J281" s="272"/>
      <c r="K281" s="292"/>
      <c r="L281" s="243"/>
      <c r="M281" s="51"/>
    </row>
    <row r="282" spans="1:13" ht="12" outlineLevel="2" x14ac:dyDescent="0.2">
      <c r="A282" s="259">
        <v>138</v>
      </c>
      <c r="B282" s="260"/>
      <c r="C282" s="261" t="s">
        <v>269</v>
      </c>
      <c r="D282" s="262" t="s">
        <v>270</v>
      </c>
      <c r="E282" s="263">
        <f t="shared" si="2"/>
        <v>1</v>
      </c>
      <c r="F282" s="264">
        <v>885</v>
      </c>
      <c r="G282" s="49">
        <v>885</v>
      </c>
      <c r="H282" s="34"/>
      <c r="I282" s="260"/>
      <c r="J282" s="265"/>
      <c r="K282" s="275" t="s">
        <v>457</v>
      </c>
    </row>
    <row r="283" spans="1:13" ht="12" outlineLevel="2" x14ac:dyDescent="0.2">
      <c r="A283" s="259"/>
      <c r="B283" s="260"/>
      <c r="C283" s="261"/>
      <c r="D283" s="262"/>
      <c r="E283" s="263"/>
      <c r="F283" s="264">
        <v>1</v>
      </c>
      <c r="G283" s="35">
        <v>1</v>
      </c>
      <c r="H283" s="34"/>
      <c r="I283" s="260"/>
      <c r="J283" s="265"/>
      <c r="K283" s="275"/>
    </row>
    <row r="284" spans="1:13" ht="12" outlineLevel="2" x14ac:dyDescent="0.2">
      <c r="A284" s="259">
        <v>139</v>
      </c>
      <c r="B284" s="260"/>
      <c r="C284" s="261" t="s">
        <v>271</v>
      </c>
      <c r="D284" s="262" t="s">
        <v>272</v>
      </c>
      <c r="E284" s="263">
        <f t="shared" si="2"/>
        <v>1</v>
      </c>
      <c r="F284" s="264">
        <v>663.33</v>
      </c>
      <c r="G284" s="49">
        <v>663.33</v>
      </c>
      <c r="H284" s="34"/>
      <c r="I284" s="260"/>
      <c r="J284" s="265"/>
      <c r="K284" s="275" t="s">
        <v>457</v>
      </c>
    </row>
    <row r="285" spans="1:13" ht="12" outlineLevel="2" x14ac:dyDescent="0.2">
      <c r="A285" s="259"/>
      <c r="B285" s="260"/>
      <c r="C285" s="261"/>
      <c r="D285" s="262"/>
      <c r="E285" s="263"/>
      <c r="F285" s="264">
        <v>1</v>
      </c>
      <c r="G285" s="35">
        <v>1</v>
      </c>
      <c r="H285" s="34"/>
      <c r="I285" s="260"/>
      <c r="J285" s="265"/>
      <c r="K285" s="275"/>
    </row>
    <row r="286" spans="1:13" ht="12" outlineLevel="2" x14ac:dyDescent="0.2">
      <c r="A286" s="259">
        <v>140</v>
      </c>
      <c r="B286" s="260"/>
      <c r="C286" s="261" t="s">
        <v>273</v>
      </c>
      <c r="D286" s="262" t="s">
        <v>274</v>
      </c>
      <c r="E286" s="263">
        <f t="shared" si="2"/>
        <v>1</v>
      </c>
      <c r="F286" s="264">
        <v>571.66999999999996</v>
      </c>
      <c r="G286" s="49">
        <v>571.66999999999996</v>
      </c>
      <c r="H286" s="34"/>
      <c r="I286" s="260"/>
      <c r="J286" s="265"/>
      <c r="K286" s="275" t="s">
        <v>457</v>
      </c>
    </row>
    <row r="287" spans="1:13" ht="12" outlineLevel="2" x14ac:dyDescent="0.2">
      <c r="A287" s="259"/>
      <c r="B287" s="260"/>
      <c r="C287" s="261"/>
      <c r="D287" s="262"/>
      <c r="E287" s="263"/>
      <c r="F287" s="264">
        <v>1</v>
      </c>
      <c r="G287" s="35">
        <v>1</v>
      </c>
      <c r="H287" s="34"/>
      <c r="I287" s="260"/>
      <c r="J287" s="265"/>
      <c r="K287" s="275"/>
    </row>
    <row r="288" spans="1:13" ht="12" customHeight="1" outlineLevel="2" x14ac:dyDescent="0.2">
      <c r="A288" s="259">
        <v>141</v>
      </c>
      <c r="B288" s="260"/>
      <c r="C288" s="261" t="s">
        <v>275</v>
      </c>
      <c r="D288" s="262" t="s">
        <v>276</v>
      </c>
      <c r="E288" s="263">
        <f t="shared" si="2"/>
        <v>1</v>
      </c>
      <c r="F288" s="264">
        <v>705</v>
      </c>
      <c r="G288" s="49">
        <v>705</v>
      </c>
      <c r="H288" s="34"/>
      <c r="I288" s="260"/>
      <c r="J288" s="265"/>
      <c r="K288" s="275" t="s">
        <v>457</v>
      </c>
    </row>
    <row r="289" spans="1:11" ht="12" outlineLevel="2" x14ac:dyDescent="0.2">
      <c r="A289" s="259"/>
      <c r="B289" s="260"/>
      <c r="C289" s="261"/>
      <c r="D289" s="262"/>
      <c r="E289" s="263"/>
      <c r="F289" s="264">
        <v>1</v>
      </c>
      <c r="G289" s="35">
        <v>1</v>
      </c>
      <c r="H289" s="34"/>
      <c r="I289" s="260"/>
      <c r="J289" s="265"/>
      <c r="K289" s="275"/>
    </row>
    <row r="290" spans="1:11" ht="12" customHeight="1" outlineLevel="2" x14ac:dyDescent="0.2">
      <c r="A290" s="259">
        <v>142</v>
      </c>
      <c r="B290" s="260"/>
      <c r="C290" s="261" t="s">
        <v>277</v>
      </c>
      <c r="D290" s="262" t="s">
        <v>278</v>
      </c>
      <c r="E290" s="263">
        <f t="shared" si="2"/>
        <v>3</v>
      </c>
      <c r="F290" s="264">
        <v>2680</v>
      </c>
      <c r="G290" s="33">
        <v>2680</v>
      </c>
      <c r="H290" s="34"/>
      <c r="I290" s="260"/>
      <c r="J290" s="265"/>
      <c r="K290" s="275" t="s">
        <v>457</v>
      </c>
    </row>
    <row r="291" spans="1:11" ht="12" outlineLevel="2" x14ac:dyDescent="0.2">
      <c r="A291" s="259"/>
      <c r="B291" s="260"/>
      <c r="C291" s="261"/>
      <c r="D291" s="262"/>
      <c r="E291" s="263"/>
      <c r="F291" s="264">
        <v>3</v>
      </c>
      <c r="G291" s="35">
        <v>3</v>
      </c>
      <c r="H291" s="34"/>
      <c r="I291" s="260"/>
      <c r="J291" s="265"/>
      <c r="K291" s="275"/>
    </row>
    <row r="292" spans="1:11" ht="12" outlineLevel="2" x14ac:dyDescent="0.2">
      <c r="A292" s="247">
        <v>143</v>
      </c>
      <c r="B292" s="245"/>
      <c r="C292" s="250" t="s">
        <v>279</v>
      </c>
      <c r="D292" s="252" t="s">
        <v>280</v>
      </c>
      <c r="E292" s="254">
        <f t="shared" si="2"/>
        <v>2</v>
      </c>
      <c r="F292" s="255">
        <v>25377.919999999998</v>
      </c>
      <c r="G292" s="27">
        <v>25377.919999999998</v>
      </c>
      <c r="H292" s="28"/>
      <c r="I292" s="245"/>
      <c r="J292" s="246"/>
      <c r="K292" s="274"/>
    </row>
    <row r="293" spans="1:11" ht="12" outlineLevel="2" x14ac:dyDescent="0.2">
      <c r="A293" s="247"/>
      <c r="B293" s="245"/>
      <c r="C293" s="250"/>
      <c r="D293" s="252"/>
      <c r="E293" s="254"/>
      <c r="F293" s="255">
        <v>2</v>
      </c>
      <c r="G293" s="29">
        <v>2</v>
      </c>
      <c r="H293" s="28"/>
      <c r="I293" s="245"/>
      <c r="J293" s="246"/>
      <c r="K293" s="274"/>
    </row>
    <row r="294" spans="1:11" ht="12" outlineLevel="2" x14ac:dyDescent="0.2">
      <c r="A294" s="247">
        <v>144</v>
      </c>
      <c r="B294" s="245"/>
      <c r="C294" s="250" t="s">
        <v>281</v>
      </c>
      <c r="D294" s="252" t="s">
        <v>282</v>
      </c>
      <c r="E294" s="254">
        <f t="shared" si="2"/>
        <v>2</v>
      </c>
      <c r="F294" s="255">
        <v>14381.33</v>
      </c>
      <c r="G294" s="27">
        <v>14381.33</v>
      </c>
      <c r="H294" s="28"/>
      <c r="I294" s="245"/>
      <c r="J294" s="246"/>
      <c r="K294" s="274"/>
    </row>
    <row r="295" spans="1:11" ht="12" outlineLevel="2" x14ac:dyDescent="0.2">
      <c r="A295" s="247"/>
      <c r="B295" s="245"/>
      <c r="C295" s="250"/>
      <c r="D295" s="252"/>
      <c r="E295" s="254"/>
      <c r="F295" s="255">
        <v>2</v>
      </c>
      <c r="G295" s="29">
        <v>2</v>
      </c>
      <c r="H295" s="28"/>
      <c r="I295" s="245"/>
      <c r="J295" s="246"/>
      <c r="K295" s="274"/>
    </row>
    <row r="296" spans="1:11" ht="12" outlineLevel="2" x14ac:dyDescent="0.2">
      <c r="A296" s="247">
        <v>145</v>
      </c>
      <c r="B296" s="245"/>
      <c r="C296" s="250" t="s">
        <v>283</v>
      </c>
      <c r="D296" s="252" t="s">
        <v>284</v>
      </c>
      <c r="E296" s="254">
        <f t="shared" si="2"/>
        <v>2</v>
      </c>
      <c r="F296" s="255">
        <v>3262.98</v>
      </c>
      <c r="G296" s="27">
        <v>3262.98</v>
      </c>
      <c r="H296" s="28"/>
      <c r="I296" s="245"/>
      <c r="J296" s="246"/>
      <c r="K296" s="274"/>
    </row>
    <row r="297" spans="1:11" ht="12" outlineLevel="2" x14ac:dyDescent="0.2">
      <c r="A297" s="247"/>
      <c r="B297" s="245"/>
      <c r="C297" s="250"/>
      <c r="D297" s="252"/>
      <c r="E297" s="254"/>
      <c r="F297" s="255">
        <v>2</v>
      </c>
      <c r="G297" s="29">
        <v>2</v>
      </c>
      <c r="H297" s="28"/>
      <c r="I297" s="245"/>
      <c r="J297" s="246"/>
      <c r="K297" s="274"/>
    </row>
    <row r="298" spans="1:11" ht="12" outlineLevel="2" x14ac:dyDescent="0.2">
      <c r="A298" s="247">
        <v>146</v>
      </c>
      <c r="B298" s="245"/>
      <c r="C298" s="250" t="s">
        <v>285</v>
      </c>
      <c r="D298" s="252" t="s">
        <v>286</v>
      </c>
      <c r="E298" s="254">
        <f t="shared" si="2"/>
        <v>2</v>
      </c>
      <c r="F298" s="255">
        <v>12750</v>
      </c>
      <c r="G298" s="27">
        <v>12750</v>
      </c>
      <c r="H298" s="28"/>
      <c r="I298" s="245"/>
      <c r="J298" s="246"/>
      <c r="K298" s="274"/>
    </row>
    <row r="299" spans="1:11" ht="12" outlineLevel="2" x14ac:dyDescent="0.2">
      <c r="A299" s="247"/>
      <c r="B299" s="245"/>
      <c r="C299" s="250"/>
      <c r="D299" s="252"/>
      <c r="E299" s="254"/>
      <c r="F299" s="255">
        <v>2</v>
      </c>
      <c r="G299" s="29">
        <v>2</v>
      </c>
      <c r="H299" s="28"/>
      <c r="I299" s="245"/>
      <c r="J299" s="246"/>
      <c r="K299" s="274"/>
    </row>
    <row r="300" spans="1:11" ht="12" outlineLevel="2" x14ac:dyDescent="0.2">
      <c r="A300" s="247">
        <v>147</v>
      </c>
      <c r="B300" s="245"/>
      <c r="C300" s="250" t="s">
        <v>287</v>
      </c>
      <c r="D300" s="252" t="s">
        <v>288</v>
      </c>
      <c r="E300" s="254">
        <f t="shared" si="2"/>
        <v>1</v>
      </c>
      <c r="F300" s="255">
        <v>26900</v>
      </c>
      <c r="G300" s="27">
        <v>26900</v>
      </c>
      <c r="H300" s="28"/>
      <c r="I300" s="245"/>
      <c r="J300" s="246"/>
      <c r="K300" s="274"/>
    </row>
    <row r="301" spans="1:11" ht="12" outlineLevel="2" x14ac:dyDescent="0.2">
      <c r="A301" s="247"/>
      <c r="B301" s="245"/>
      <c r="C301" s="250"/>
      <c r="D301" s="252"/>
      <c r="E301" s="254"/>
      <c r="F301" s="255">
        <v>1</v>
      </c>
      <c r="G301" s="29">
        <v>1</v>
      </c>
      <c r="H301" s="28"/>
      <c r="I301" s="245"/>
      <c r="J301" s="246"/>
      <c r="K301" s="274"/>
    </row>
    <row r="302" spans="1:11" ht="12" customHeight="1" outlineLevel="2" x14ac:dyDescent="0.2">
      <c r="A302" s="259">
        <v>148</v>
      </c>
      <c r="B302" s="260"/>
      <c r="C302" s="261" t="s">
        <v>289</v>
      </c>
      <c r="D302" s="262" t="s">
        <v>290</v>
      </c>
      <c r="E302" s="263">
        <f t="shared" si="2"/>
        <v>3</v>
      </c>
      <c r="F302" s="264">
        <v>2600</v>
      </c>
      <c r="G302" s="33">
        <v>2600</v>
      </c>
      <c r="H302" s="34"/>
      <c r="I302" s="260"/>
      <c r="J302" s="265"/>
      <c r="K302" s="273" t="s">
        <v>448</v>
      </c>
    </row>
    <row r="303" spans="1:11" ht="12" outlineLevel="2" x14ac:dyDescent="0.2">
      <c r="A303" s="259"/>
      <c r="B303" s="260"/>
      <c r="C303" s="261"/>
      <c r="D303" s="262"/>
      <c r="E303" s="263"/>
      <c r="F303" s="264">
        <v>3</v>
      </c>
      <c r="G303" s="35">
        <v>3</v>
      </c>
      <c r="H303" s="34"/>
      <c r="I303" s="260"/>
      <c r="J303" s="265"/>
      <c r="K303" s="273"/>
    </row>
    <row r="304" spans="1:11" ht="12" outlineLevel="2" x14ac:dyDescent="0.2">
      <c r="A304" s="247">
        <v>149</v>
      </c>
      <c r="B304" s="245"/>
      <c r="C304" s="250" t="s">
        <v>291</v>
      </c>
      <c r="D304" s="252" t="s">
        <v>292</v>
      </c>
      <c r="E304" s="254">
        <f t="shared" si="2"/>
        <v>2</v>
      </c>
      <c r="F304" s="255">
        <v>27568.95</v>
      </c>
      <c r="G304" s="27">
        <v>27568.95</v>
      </c>
      <c r="H304" s="28"/>
      <c r="I304" s="245"/>
      <c r="J304" s="246"/>
      <c r="K304" s="274"/>
    </row>
    <row r="305" spans="1:11" ht="12" outlineLevel="2" x14ac:dyDescent="0.2">
      <c r="A305" s="247"/>
      <c r="B305" s="245"/>
      <c r="C305" s="250"/>
      <c r="D305" s="252"/>
      <c r="E305" s="254"/>
      <c r="F305" s="255">
        <v>2</v>
      </c>
      <c r="G305" s="29">
        <v>2</v>
      </c>
      <c r="H305" s="28"/>
      <c r="I305" s="245"/>
      <c r="J305" s="246"/>
      <c r="K305" s="274"/>
    </row>
    <row r="306" spans="1:11" ht="12" outlineLevel="2" x14ac:dyDescent="0.2">
      <c r="A306" s="247">
        <v>150</v>
      </c>
      <c r="B306" s="245"/>
      <c r="C306" s="250" t="s">
        <v>293</v>
      </c>
      <c r="D306" s="252" t="s">
        <v>294</v>
      </c>
      <c r="E306" s="254">
        <f t="shared" si="2"/>
        <v>3</v>
      </c>
      <c r="F306" s="255">
        <v>13995</v>
      </c>
      <c r="G306" s="27">
        <v>13995</v>
      </c>
      <c r="H306" s="28"/>
      <c r="I306" s="245"/>
      <c r="J306" s="246"/>
      <c r="K306" s="274"/>
    </row>
    <row r="307" spans="1:11" ht="12" outlineLevel="2" x14ac:dyDescent="0.2">
      <c r="A307" s="247"/>
      <c r="B307" s="245"/>
      <c r="C307" s="250"/>
      <c r="D307" s="252"/>
      <c r="E307" s="254"/>
      <c r="F307" s="255">
        <v>3</v>
      </c>
      <c r="G307" s="29">
        <v>3</v>
      </c>
      <c r="H307" s="28"/>
      <c r="I307" s="245"/>
      <c r="J307" s="246"/>
      <c r="K307" s="274"/>
    </row>
    <row r="308" spans="1:11" ht="12" outlineLevel="2" x14ac:dyDescent="0.2">
      <c r="A308" s="247">
        <v>151</v>
      </c>
      <c r="B308" s="245"/>
      <c r="C308" s="250" t="s">
        <v>295</v>
      </c>
      <c r="D308" s="252" t="s">
        <v>296</v>
      </c>
      <c r="E308" s="254">
        <v>4</v>
      </c>
      <c r="F308" s="255">
        <v>22480</v>
      </c>
      <c r="G308" s="27">
        <v>22480</v>
      </c>
      <c r="H308" s="28"/>
      <c r="I308" s="245"/>
      <c r="J308" s="246"/>
      <c r="K308" s="274"/>
    </row>
    <row r="309" spans="1:11" ht="12" outlineLevel="2" x14ac:dyDescent="0.2">
      <c r="A309" s="247"/>
      <c r="B309" s="245"/>
      <c r="C309" s="250"/>
      <c r="D309" s="252"/>
      <c r="E309" s="254"/>
      <c r="F309" s="255">
        <v>1</v>
      </c>
      <c r="G309" s="29">
        <v>1</v>
      </c>
      <c r="H309" s="28"/>
      <c r="I309" s="245"/>
      <c r="J309" s="246"/>
      <c r="K309" s="274"/>
    </row>
    <row r="310" spans="1:11" ht="12" outlineLevel="2" x14ac:dyDescent="0.2">
      <c r="A310" s="259">
        <v>152</v>
      </c>
      <c r="B310" s="260"/>
      <c r="C310" s="261" t="s">
        <v>297</v>
      </c>
      <c r="D310" s="262" t="s">
        <v>298</v>
      </c>
      <c r="E310" s="263">
        <f t="shared" si="2"/>
        <v>6</v>
      </c>
      <c r="F310" s="264">
        <v>137.13999999999999</v>
      </c>
      <c r="G310" s="49">
        <v>137.13999999999999</v>
      </c>
      <c r="H310" s="34"/>
      <c r="I310" s="260"/>
      <c r="J310" s="265"/>
      <c r="K310" s="275" t="s">
        <v>456</v>
      </c>
    </row>
    <row r="311" spans="1:11" ht="12" outlineLevel="2" x14ac:dyDescent="0.2">
      <c r="A311" s="259"/>
      <c r="B311" s="260"/>
      <c r="C311" s="261"/>
      <c r="D311" s="262"/>
      <c r="E311" s="263"/>
      <c r="F311" s="264">
        <v>6</v>
      </c>
      <c r="G311" s="35">
        <v>6</v>
      </c>
      <c r="H311" s="34"/>
      <c r="I311" s="260"/>
      <c r="J311" s="265"/>
      <c r="K311" s="275"/>
    </row>
    <row r="312" spans="1:11" ht="12" outlineLevel="2" x14ac:dyDescent="0.2">
      <c r="A312" s="259">
        <v>153</v>
      </c>
      <c r="B312" s="260"/>
      <c r="C312" s="261" t="s">
        <v>299</v>
      </c>
      <c r="D312" s="262" t="s">
        <v>300</v>
      </c>
      <c r="E312" s="263">
        <f t="shared" si="2"/>
        <v>3</v>
      </c>
      <c r="F312" s="264">
        <v>674.29</v>
      </c>
      <c r="G312" s="49">
        <v>674.29</v>
      </c>
      <c r="H312" s="34"/>
      <c r="I312" s="260"/>
      <c r="J312" s="265"/>
      <c r="K312" s="275" t="s">
        <v>456</v>
      </c>
    </row>
    <row r="313" spans="1:11" ht="12" outlineLevel="2" x14ac:dyDescent="0.2">
      <c r="A313" s="259"/>
      <c r="B313" s="260"/>
      <c r="C313" s="261"/>
      <c r="D313" s="262"/>
      <c r="E313" s="263"/>
      <c r="F313" s="264">
        <v>3</v>
      </c>
      <c r="G313" s="35">
        <v>3</v>
      </c>
      <c r="H313" s="34"/>
      <c r="I313" s="260"/>
      <c r="J313" s="265"/>
      <c r="K313" s="275"/>
    </row>
    <row r="314" spans="1:11" ht="12" outlineLevel="2" x14ac:dyDescent="0.2">
      <c r="A314" s="259">
        <v>154</v>
      </c>
      <c r="B314" s="260"/>
      <c r="C314" s="261" t="s">
        <v>301</v>
      </c>
      <c r="D314" s="262" t="s">
        <v>302</v>
      </c>
      <c r="E314" s="263">
        <f t="shared" si="2"/>
        <v>6</v>
      </c>
      <c r="F314" s="264">
        <v>1662.86</v>
      </c>
      <c r="G314" s="33">
        <v>1662.86</v>
      </c>
      <c r="H314" s="34"/>
      <c r="I314" s="260"/>
      <c r="J314" s="265"/>
      <c r="K314" s="275" t="s">
        <v>456</v>
      </c>
    </row>
    <row r="315" spans="1:11" ht="12" outlineLevel="2" x14ac:dyDescent="0.2">
      <c r="A315" s="259"/>
      <c r="B315" s="260"/>
      <c r="C315" s="261"/>
      <c r="D315" s="262"/>
      <c r="E315" s="263"/>
      <c r="F315" s="264">
        <v>6</v>
      </c>
      <c r="G315" s="35">
        <v>6</v>
      </c>
      <c r="H315" s="34"/>
      <c r="I315" s="260"/>
      <c r="J315" s="265"/>
      <c r="K315" s="275"/>
    </row>
    <row r="316" spans="1:11" ht="12" outlineLevel="2" x14ac:dyDescent="0.2">
      <c r="A316" s="259">
        <v>155</v>
      </c>
      <c r="B316" s="260"/>
      <c r="C316" s="261" t="s">
        <v>303</v>
      </c>
      <c r="D316" s="262" t="s">
        <v>304</v>
      </c>
      <c r="E316" s="263">
        <f t="shared" si="2"/>
        <v>8</v>
      </c>
      <c r="F316" s="264">
        <v>1699.05</v>
      </c>
      <c r="G316" s="33">
        <v>1699.05</v>
      </c>
      <c r="H316" s="34"/>
      <c r="I316" s="260"/>
      <c r="J316" s="265"/>
      <c r="K316" s="275" t="s">
        <v>456</v>
      </c>
    </row>
    <row r="317" spans="1:11" ht="12" outlineLevel="2" x14ac:dyDescent="0.2">
      <c r="A317" s="259"/>
      <c r="B317" s="260"/>
      <c r="C317" s="261"/>
      <c r="D317" s="262"/>
      <c r="E317" s="263"/>
      <c r="F317" s="264">
        <v>8</v>
      </c>
      <c r="G317" s="35">
        <v>8</v>
      </c>
      <c r="H317" s="34"/>
      <c r="I317" s="260"/>
      <c r="J317" s="265"/>
      <c r="K317" s="275"/>
    </row>
    <row r="318" spans="1:11" ht="12" outlineLevel="2" x14ac:dyDescent="0.2">
      <c r="A318" s="259">
        <v>156</v>
      </c>
      <c r="B318" s="260"/>
      <c r="C318" s="261" t="s">
        <v>305</v>
      </c>
      <c r="D318" s="262" t="s">
        <v>306</v>
      </c>
      <c r="E318" s="263">
        <f t="shared" si="2"/>
        <v>3</v>
      </c>
      <c r="F318" s="264">
        <v>5322.86</v>
      </c>
      <c r="G318" s="33">
        <v>5322.86</v>
      </c>
      <c r="H318" s="34"/>
      <c r="I318" s="260"/>
      <c r="J318" s="265"/>
      <c r="K318" s="275" t="s">
        <v>456</v>
      </c>
    </row>
    <row r="319" spans="1:11" ht="12" outlineLevel="2" x14ac:dyDescent="0.2">
      <c r="A319" s="259"/>
      <c r="B319" s="260"/>
      <c r="C319" s="261"/>
      <c r="D319" s="262"/>
      <c r="E319" s="263"/>
      <c r="F319" s="264">
        <v>3</v>
      </c>
      <c r="G319" s="35">
        <v>3</v>
      </c>
      <c r="H319" s="34"/>
      <c r="I319" s="260"/>
      <c r="J319" s="265"/>
      <c r="K319" s="275"/>
    </row>
    <row r="320" spans="1:11" ht="12" outlineLevel="2" x14ac:dyDescent="0.2">
      <c r="A320" s="247">
        <v>157</v>
      </c>
      <c r="B320" s="245"/>
      <c r="C320" s="250" t="s">
        <v>307</v>
      </c>
      <c r="D320" s="252" t="s">
        <v>308</v>
      </c>
      <c r="E320" s="254">
        <f t="shared" si="2"/>
        <v>1</v>
      </c>
      <c r="F320" s="255">
        <v>11797.5</v>
      </c>
      <c r="G320" s="27">
        <v>11797.5</v>
      </c>
      <c r="H320" s="28"/>
      <c r="I320" s="245"/>
      <c r="J320" s="246"/>
      <c r="K320" s="274"/>
    </row>
    <row r="321" spans="1:11" ht="12" outlineLevel="2" x14ac:dyDescent="0.2">
      <c r="A321" s="247"/>
      <c r="B321" s="245"/>
      <c r="C321" s="250"/>
      <c r="D321" s="252"/>
      <c r="E321" s="254"/>
      <c r="F321" s="255">
        <v>1</v>
      </c>
      <c r="G321" s="29">
        <v>1</v>
      </c>
      <c r="H321" s="28"/>
      <c r="I321" s="245"/>
      <c r="J321" s="246"/>
      <c r="K321" s="274"/>
    </row>
    <row r="322" spans="1:11" ht="12" outlineLevel="2" x14ac:dyDescent="0.2">
      <c r="A322" s="247">
        <v>158</v>
      </c>
      <c r="B322" s="245"/>
      <c r="C322" s="250" t="s">
        <v>309</v>
      </c>
      <c r="D322" s="252" t="s">
        <v>310</v>
      </c>
      <c r="E322" s="254">
        <f t="shared" si="2"/>
        <v>1</v>
      </c>
      <c r="F322" s="255">
        <v>349.17</v>
      </c>
      <c r="G322" s="50">
        <v>349.17</v>
      </c>
      <c r="H322" s="28"/>
      <c r="I322" s="245"/>
      <c r="J322" s="246"/>
      <c r="K322" s="274"/>
    </row>
    <row r="323" spans="1:11" ht="12" outlineLevel="2" x14ac:dyDescent="0.2">
      <c r="A323" s="247"/>
      <c r="B323" s="245"/>
      <c r="C323" s="250"/>
      <c r="D323" s="252"/>
      <c r="E323" s="254"/>
      <c r="F323" s="255">
        <v>1</v>
      </c>
      <c r="G323" s="29">
        <v>1</v>
      </c>
      <c r="H323" s="28"/>
      <c r="I323" s="245"/>
      <c r="J323" s="246"/>
      <c r="K323" s="274"/>
    </row>
    <row r="324" spans="1:11" ht="12" outlineLevel="2" x14ac:dyDescent="0.2">
      <c r="A324" s="247">
        <v>159</v>
      </c>
      <c r="B324" s="245"/>
      <c r="C324" s="250" t="s">
        <v>311</v>
      </c>
      <c r="D324" s="252" t="s">
        <v>312</v>
      </c>
      <c r="E324" s="254">
        <f t="shared" si="2"/>
        <v>2</v>
      </c>
      <c r="F324" s="255">
        <v>5046.22</v>
      </c>
      <c r="G324" s="27">
        <v>5046.22</v>
      </c>
      <c r="H324" s="28"/>
      <c r="I324" s="245"/>
      <c r="J324" s="246"/>
      <c r="K324" s="274"/>
    </row>
    <row r="325" spans="1:11" ht="12" outlineLevel="2" x14ac:dyDescent="0.2">
      <c r="A325" s="247"/>
      <c r="B325" s="245"/>
      <c r="C325" s="250"/>
      <c r="D325" s="252"/>
      <c r="E325" s="254"/>
      <c r="F325" s="255">
        <v>2</v>
      </c>
      <c r="G325" s="29">
        <v>2</v>
      </c>
      <c r="H325" s="28"/>
      <c r="I325" s="245"/>
      <c r="J325" s="246"/>
      <c r="K325" s="274"/>
    </row>
    <row r="326" spans="1:11" ht="12" outlineLevel="2" x14ac:dyDescent="0.2">
      <c r="A326" s="247">
        <v>160</v>
      </c>
      <c r="B326" s="245"/>
      <c r="C326" s="250" t="s">
        <v>313</v>
      </c>
      <c r="D326" s="252" t="s">
        <v>314</v>
      </c>
      <c r="E326" s="254">
        <f t="shared" ref="E326:E358" si="3">G327</f>
        <v>2</v>
      </c>
      <c r="F326" s="255">
        <v>22188.23</v>
      </c>
      <c r="G326" s="27">
        <v>22188.23</v>
      </c>
      <c r="H326" s="28"/>
      <c r="I326" s="245"/>
      <c r="J326" s="246"/>
      <c r="K326" s="274"/>
    </row>
    <row r="327" spans="1:11" ht="12" outlineLevel="2" x14ac:dyDescent="0.2">
      <c r="A327" s="247"/>
      <c r="B327" s="245"/>
      <c r="C327" s="250"/>
      <c r="D327" s="252"/>
      <c r="E327" s="254"/>
      <c r="F327" s="255">
        <v>2</v>
      </c>
      <c r="G327" s="29">
        <v>2</v>
      </c>
      <c r="H327" s="28"/>
      <c r="I327" s="245"/>
      <c r="J327" s="246"/>
      <c r="K327" s="274"/>
    </row>
    <row r="328" spans="1:11" ht="12" outlineLevel="2" x14ac:dyDescent="0.2">
      <c r="A328" s="247">
        <v>161</v>
      </c>
      <c r="B328" s="245"/>
      <c r="C328" s="250" t="s">
        <v>315</v>
      </c>
      <c r="D328" s="252" t="s">
        <v>316</v>
      </c>
      <c r="E328" s="254">
        <f t="shared" si="3"/>
        <v>1</v>
      </c>
      <c r="F328" s="255">
        <v>2083.33</v>
      </c>
      <c r="G328" s="27">
        <v>2083.33</v>
      </c>
      <c r="H328" s="28"/>
      <c r="I328" s="245"/>
      <c r="J328" s="246"/>
      <c r="K328" s="274"/>
    </row>
    <row r="329" spans="1:11" ht="12" outlineLevel="2" x14ac:dyDescent="0.2">
      <c r="A329" s="247"/>
      <c r="B329" s="245"/>
      <c r="C329" s="250"/>
      <c r="D329" s="252"/>
      <c r="E329" s="254"/>
      <c r="F329" s="255">
        <v>1</v>
      </c>
      <c r="G329" s="29">
        <v>1</v>
      </c>
      <c r="H329" s="28"/>
      <c r="I329" s="245"/>
      <c r="J329" s="246"/>
      <c r="K329" s="274"/>
    </row>
    <row r="330" spans="1:11" ht="12" customHeight="1" outlineLevel="2" x14ac:dyDescent="0.2">
      <c r="A330" s="259">
        <v>162</v>
      </c>
      <c r="B330" s="260"/>
      <c r="C330" s="261" t="s">
        <v>317</v>
      </c>
      <c r="D330" s="262" t="s">
        <v>318</v>
      </c>
      <c r="E330" s="263">
        <f t="shared" si="3"/>
        <v>1</v>
      </c>
      <c r="F330" s="264">
        <v>19280.48</v>
      </c>
      <c r="G330" s="33">
        <v>19280.48</v>
      </c>
      <c r="H330" s="34"/>
      <c r="I330" s="260"/>
      <c r="J330" s="265"/>
      <c r="K330" s="273" t="s">
        <v>448</v>
      </c>
    </row>
    <row r="331" spans="1:11" ht="12" outlineLevel="2" x14ac:dyDescent="0.2">
      <c r="A331" s="259"/>
      <c r="B331" s="260"/>
      <c r="C331" s="261"/>
      <c r="D331" s="262"/>
      <c r="E331" s="263"/>
      <c r="F331" s="264">
        <v>1</v>
      </c>
      <c r="G331" s="35">
        <v>1</v>
      </c>
      <c r="H331" s="34"/>
      <c r="I331" s="260"/>
      <c r="J331" s="265"/>
      <c r="K331" s="273"/>
    </row>
    <row r="332" spans="1:11" ht="12" outlineLevel="2" x14ac:dyDescent="0.2">
      <c r="A332" s="266">
        <v>163</v>
      </c>
      <c r="B332" s="267"/>
      <c r="C332" s="268" t="s">
        <v>319</v>
      </c>
      <c r="D332" s="269" t="s">
        <v>320</v>
      </c>
      <c r="E332" s="270">
        <f t="shared" si="3"/>
        <v>1</v>
      </c>
      <c r="F332" s="271">
        <v>394576.53</v>
      </c>
      <c r="G332" s="38">
        <v>394576.53</v>
      </c>
      <c r="H332" s="39"/>
      <c r="I332" s="267"/>
      <c r="J332" s="272"/>
      <c r="K332" s="292" t="s">
        <v>460</v>
      </c>
    </row>
    <row r="333" spans="1:11" ht="12" outlineLevel="2" x14ac:dyDescent="0.2">
      <c r="A333" s="266"/>
      <c r="B333" s="267"/>
      <c r="C333" s="268"/>
      <c r="D333" s="269"/>
      <c r="E333" s="270"/>
      <c r="F333" s="271">
        <v>1</v>
      </c>
      <c r="G333" s="40">
        <v>1</v>
      </c>
      <c r="H333" s="39"/>
      <c r="I333" s="267"/>
      <c r="J333" s="272"/>
      <c r="K333" s="292"/>
    </row>
    <row r="334" spans="1:11" ht="12" outlineLevel="2" x14ac:dyDescent="0.2">
      <c r="A334" s="266">
        <v>164</v>
      </c>
      <c r="B334" s="267"/>
      <c r="C334" s="268" t="s">
        <v>321</v>
      </c>
      <c r="D334" s="269" t="s">
        <v>322</v>
      </c>
      <c r="E334" s="270">
        <f t="shared" si="3"/>
        <v>1</v>
      </c>
      <c r="F334" s="271">
        <v>267445.71000000002</v>
      </c>
      <c r="G334" s="38">
        <v>267445.71000000002</v>
      </c>
      <c r="H334" s="39"/>
      <c r="I334" s="267"/>
      <c r="J334" s="272"/>
      <c r="K334" s="292" t="s">
        <v>460</v>
      </c>
    </row>
    <row r="335" spans="1:11" ht="12" outlineLevel="2" x14ac:dyDescent="0.2">
      <c r="A335" s="266"/>
      <c r="B335" s="267"/>
      <c r="C335" s="268"/>
      <c r="D335" s="269"/>
      <c r="E335" s="270"/>
      <c r="F335" s="271">
        <v>1</v>
      </c>
      <c r="G335" s="40">
        <v>1</v>
      </c>
      <c r="H335" s="39"/>
      <c r="I335" s="267"/>
      <c r="J335" s="272"/>
      <c r="K335" s="292"/>
    </row>
    <row r="336" spans="1:11" ht="12" outlineLevel="2" x14ac:dyDescent="0.2">
      <c r="A336" s="266">
        <v>165</v>
      </c>
      <c r="B336" s="267"/>
      <c r="C336" s="268" t="s">
        <v>323</v>
      </c>
      <c r="D336" s="269" t="s">
        <v>324</v>
      </c>
      <c r="E336" s="270">
        <f t="shared" si="3"/>
        <v>1</v>
      </c>
      <c r="F336" s="271">
        <v>213656.74</v>
      </c>
      <c r="G336" s="38">
        <v>213656.74</v>
      </c>
      <c r="H336" s="39"/>
      <c r="I336" s="267"/>
      <c r="J336" s="272"/>
      <c r="K336" s="292" t="s">
        <v>460</v>
      </c>
    </row>
    <row r="337" spans="1:11" ht="12" outlineLevel="2" x14ac:dyDescent="0.2">
      <c r="A337" s="266"/>
      <c r="B337" s="267"/>
      <c r="C337" s="268"/>
      <c r="D337" s="269"/>
      <c r="E337" s="270"/>
      <c r="F337" s="271">
        <v>1</v>
      </c>
      <c r="G337" s="40">
        <v>1</v>
      </c>
      <c r="H337" s="39"/>
      <c r="I337" s="267"/>
      <c r="J337" s="272"/>
      <c r="K337" s="292"/>
    </row>
    <row r="338" spans="1:11" ht="12" customHeight="1" outlineLevel="2" x14ac:dyDescent="0.2">
      <c r="A338" s="259">
        <v>166</v>
      </c>
      <c r="B338" s="260"/>
      <c r="C338" s="261" t="s">
        <v>325</v>
      </c>
      <c r="D338" s="262" t="s">
        <v>326</v>
      </c>
      <c r="E338" s="263">
        <f t="shared" si="3"/>
        <v>2</v>
      </c>
      <c r="F338" s="264">
        <v>130</v>
      </c>
      <c r="G338" s="49">
        <v>130</v>
      </c>
      <c r="H338" s="34"/>
      <c r="I338" s="260"/>
      <c r="J338" s="265"/>
      <c r="K338" s="273" t="s">
        <v>448</v>
      </c>
    </row>
    <row r="339" spans="1:11" ht="12" outlineLevel="2" x14ac:dyDescent="0.2">
      <c r="A339" s="259"/>
      <c r="B339" s="260"/>
      <c r="C339" s="261"/>
      <c r="D339" s="262"/>
      <c r="E339" s="263"/>
      <c r="F339" s="264">
        <v>2</v>
      </c>
      <c r="G339" s="35">
        <v>2</v>
      </c>
      <c r="H339" s="34"/>
      <c r="I339" s="260"/>
      <c r="J339" s="265"/>
      <c r="K339" s="273"/>
    </row>
    <row r="340" spans="1:11" ht="12" customHeight="1" outlineLevel="2" x14ac:dyDescent="0.2">
      <c r="A340" s="259">
        <v>167</v>
      </c>
      <c r="B340" s="260"/>
      <c r="C340" s="261" t="s">
        <v>327</v>
      </c>
      <c r="D340" s="262" t="s">
        <v>328</v>
      </c>
      <c r="E340" s="263">
        <f t="shared" si="3"/>
        <v>1</v>
      </c>
      <c r="F340" s="264">
        <v>97.5</v>
      </c>
      <c r="G340" s="49">
        <v>97.5</v>
      </c>
      <c r="H340" s="34"/>
      <c r="I340" s="260"/>
      <c r="J340" s="265"/>
      <c r="K340" s="273" t="s">
        <v>448</v>
      </c>
    </row>
    <row r="341" spans="1:11" ht="12" outlineLevel="2" x14ac:dyDescent="0.2">
      <c r="A341" s="259"/>
      <c r="B341" s="260"/>
      <c r="C341" s="261"/>
      <c r="D341" s="262"/>
      <c r="E341" s="263"/>
      <c r="F341" s="264">
        <v>1</v>
      </c>
      <c r="G341" s="35">
        <v>1</v>
      </c>
      <c r="H341" s="34"/>
      <c r="I341" s="260"/>
      <c r="J341" s="265"/>
      <c r="K341" s="273"/>
    </row>
    <row r="342" spans="1:11" ht="12" customHeight="1" outlineLevel="2" x14ac:dyDescent="0.2">
      <c r="A342" s="259">
        <v>168</v>
      </c>
      <c r="B342" s="260"/>
      <c r="C342" s="261" t="s">
        <v>329</v>
      </c>
      <c r="D342" s="262" t="s">
        <v>330</v>
      </c>
      <c r="E342" s="263">
        <f t="shared" si="3"/>
        <v>1</v>
      </c>
      <c r="F342" s="264">
        <v>2198.67</v>
      </c>
      <c r="G342" s="33">
        <v>2198.67</v>
      </c>
      <c r="H342" s="34"/>
      <c r="I342" s="260"/>
      <c r="J342" s="265"/>
      <c r="K342" s="273" t="s">
        <v>448</v>
      </c>
    </row>
    <row r="343" spans="1:11" ht="12" outlineLevel="2" x14ac:dyDescent="0.2">
      <c r="A343" s="259"/>
      <c r="B343" s="260"/>
      <c r="C343" s="261"/>
      <c r="D343" s="262"/>
      <c r="E343" s="263"/>
      <c r="F343" s="264">
        <v>1</v>
      </c>
      <c r="G343" s="35">
        <v>1</v>
      </c>
      <c r="H343" s="34"/>
      <c r="I343" s="260"/>
      <c r="J343" s="265"/>
      <c r="K343" s="273"/>
    </row>
    <row r="344" spans="1:11" ht="12" customHeight="1" outlineLevel="2" x14ac:dyDescent="0.2">
      <c r="A344" s="259">
        <v>169</v>
      </c>
      <c r="B344" s="260"/>
      <c r="C344" s="261" t="s">
        <v>329</v>
      </c>
      <c r="D344" s="262" t="s">
        <v>331</v>
      </c>
      <c r="E344" s="263">
        <f t="shared" si="3"/>
        <v>1</v>
      </c>
      <c r="F344" s="264">
        <v>2237.4299999999998</v>
      </c>
      <c r="G344" s="33">
        <v>2237.4299999999998</v>
      </c>
      <c r="H344" s="34"/>
      <c r="I344" s="260"/>
      <c r="J344" s="265"/>
      <c r="K344" s="273" t="s">
        <v>448</v>
      </c>
    </row>
    <row r="345" spans="1:11" ht="12" outlineLevel="2" x14ac:dyDescent="0.2">
      <c r="A345" s="259"/>
      <c r="B345" s="260"/>
      <c r="C345" s="261"/>
      <c r="D345" s="262"/>
      <c r="E345" s="263"/>
      <c r="F345" s="264">
        <v>1</v>
      </c>
      <c r="G345" s="35">
        <v>1</v>
      </c>
      <c r="H345" s="34"/>
      <c r="I345" s="260"/>
      <c r="J345" s="265"/>
      <c r="K345" s="273"/>
    </row>
    <row r="346" spans="1:11" ht="12" customHeight="1" outlineLevel="2" x14ac:dyDescent="0.2">
      <c r="A346" s="259">
        <v>170</v>
      </c>
      <c r="B346" s="260"/>
      <c r="C346" s="261" t="s">
        <v>329</v>
      </c>
      <c r="D346" s="262" t="s">
        <v>332</v>
      </c>
      <c r="E346" s="263">
        <f t="shared" si="3"/>
        <v>1</v>
      </c>
      <c r="F346" s="264">
        <v>14589.46</v>
      </c>
      <c r="G346" s="33">
        <v>14589.46</v>
      </c>
      <c r="H346" s="34"/>
      <c r="I346" s="260"/>
      <c r="J346" s="265"/>
      <c r="K346" s="273" t="s">
        <v>448</v>
      </c>
    </row>
    <row r="347" spans="1:11" ht="12" outlineLevel="2" x14ac:dyDescent="0.2">
      <c r="A347" s="259"/>
      <c r="B347" s="260"/>
      <c r="C347" s="261"/>
      <c r="D347" s="262"/>
      <c r="E347" s="263"/>
      <c r="F347" s="264">
        <v>1</v>
      </c>
      <c r="G347" s="35">
        <v>1</v>
      </c>
      <c r="H347" s="34"/>
      <c r="I347" s="260"/>
      <c r="J347" s="265"/>
      <c r="K347" s="273"/>
    </row>
    <row r="348" spans="1:11" ht="12" customHeight="1" outlineLevel="2" x14ac:dyDescent="0.2">
      <c r="A348" s="259">
        <v>171</v>
      </c>
      <c r="B348" s="260"/>
      <c r="C348" s="261" t="s">
        <v>329</v>
      </c>
      <c r="D348" s="262" t="s">
        <v>333</v>
      </c>
      <c r="E348" s="263">
        <f t="shared" si="3"/>
        <v>1</v>
      </c>
      <c r="F348" s="264">
        <v>1606.85</v>
      </c>
      <c r="G348" s="33">
        <v>1606.85</v>
      </c>
      <c r="H348" s="34"/>
      <c r="I348" s="260"/>
      <c r="J348" s="265"/>
      <c r="K348" s="273" t="s">
        <v>448</v>
      </c>
    </row>
    <row r="349" spans="1:11" ht="12" outlineLevel="2" x14ac:dyDescent="0.2">
      <c r="A349" s="259"/>
      <c r="B349" s="260"/>
      <c r="C349" s="261"/>
      <c r="D349" s="262"/>
      <c r="E349" s="263"/>
      <c r="F349" s="264">
        <v>1</v>
      </c>
      <c r="G349" s="35">
        <v>1</v>
      </c>
      <c r="H349" s="34"/>
      <c r="I349" s="260"/>
      <c r="J349" s="265"/>
      <c r="K349" s="273"/>
    </row>
    <row r="350" spans="1:11" ht="12" outlineLevel="2" x14ac:dyDescent="0.2">
      <c r="A350" s="247">
        <v>172</v>
      </c>
      <c r="B350" s="245"/>
      <c r="C350" s="250" t="s">
        <v>334</v>
      </c>
      <c r="D350" s="252" t="s">
        <v>335</v>
      </c>
      <c r="E350" s="254">
        <f t="shared" si="3"/>
        <v>1</v>
      </c>
      <c r="F350" s="255">
        <v>4578.33</v>
      </c>
      <c r="G350" s="27">
        <v>4578.33</v>
      </c>
      <c r="H350" s="28"/>
      <c r="I350" s="245"/>
      <c r="J350" s="246"/>
      <c r="K350" s="274"/>
    </row>
    <row r="351" spans="1:11" ht="12" outlineLevel="2" x14ac:dyDescent="0.2">
      <c r="A351" s="247"/>
      <c r="B351" s="245"/>
      <c r="C351" s="250"/>
      <c r="D351" s="252"/>
      <c r="E351" s="254"/>
      <c r="F351" s="255">
        <v>1</v>
      </c>
      <c r="G351" s="29">
        <v>1</v>
      </c>
      <c r="H351" s="28"/>
      <c r="I351" s="245"/>
      <c r="J351" s="246"/>
      <c r="K351" s="274"/>
    </row>
    <row r="352" spans="1:11" ht="12" customHeight="1" outlineLevel="2" x14ac:dyDescent="0.2">
      <c r="A352" s="259">
        <v>173</v>
      </c>
      <c r="B352" s="260"/>
      <c r="C352" s="261" t="s">
        <v>336</v>
      </c>
      <c r="D352" s="262" t="s">
        <v>337</v>
      </c>
      <c r="E352" s="263">
        <f t="shared" si="3"/>
        <v>6</v>
      </c>
      <c r="F352" s="264">
        <v>504</v>
      </c>
      <c r="G352" s="49">
        <v>504</v>
      </c>
      <c r="H352" s="34"/>
      <c r="I352" s="260"/>
      <c r="J352" s="265"/>
      <c r="K352" s="273" t="s">
        <v>448</v>
      </c>
    </row>
    <row r="353" spans="1:11" ht="12" outlineLevel="2" x14ac:dyDescent="0.2">
      <c r="A353" s="259"/>
      <c r="B353" s="260"/>
      <c r="C353" s="261"/>
      <c r="D353" s="262"/>
      <c r="E353" s="263"/>
      <c r="F353" s="264">
        <v>6</v>
      </c>
      <c r="G353" s="35">
        <v>6</v>
      </c>
      <c r="H353" s="34"/>
      <c r="I353" s="260"/>
      <c r="J353" s="265"/>
      <c r="K353" s="273"/>
    </row>
    <row r="354" spans="1:11" ht="12" outlineLevel="2" x14ac:dyDescent="0.2">
      <c r="A354" s="247">
        <v>174</v>
      </c>
      <c r="B354" s="245"/>
      <c r="C354" s="250" t="s">
        <v>338</v>
      </c>
      <c r="D354" s="252" t="s">
        <v>339</v>
      </c>
      <c r="E354" s="254">
        <f t="shared" si="3"/>
        <v>1</v>
      </c>
      <c r="F354" s="255">
        <v>835.83</v>
      </c>
      <c r="G354" s="50">
        <v>835.83</v>
      </c>
      <c r="H354" s="28"/>
      <c r="I354" s="245"/>
      <c r="J354" s="246"/>
      <c r="K354" s="274"/>
    </row>
    <row r="355" spans="1:11" ht="12" outlineLevel="2" x14ac:dyDescent="0.2">
      <c r="A355" s="247"/>
      <c r="B355" s="245"/>
      <c r="C355" s="250"/>
      <c r="D355" s="252"/>
      <c r="E355" s="254"/>
      <c r="F355" s="255">
        <v>1</v>
      </c>
      <c r="G355" s="29">
        <v>1</v>
      </c>
      <c r="H355" s="28"/>
      <c r="I355" s="245"/>
      <c r="J355" s="246"/>
      <c r="K355" s="274"/>
    </row>
    <row r="356" spans="1:11" ht="12" outlineLevel="2" x14ac:dyDescent="0.2">
      <c r="A356" s="247">
        <v>175</v>
      </c>
      <c r="B356" s="245"/>
      <c r="C356" s="250" t="s">
        <v>340</v>
      </c>
      <c r="D356" s="252" t="s">
        <v>341</v>
      </c>
      <c r="E356" s="254">
        <f t="shared" si="3"/>
        <v>1</v>
      </c>
      <c r="F356" s="255">
        <v>5623</v>
      </c>
      <c r="G356" s="27">
        <v>5623</v>
      </c>
      <c r="H356" s="28"/>
      <c r="I356" s="245"/>
      <c r="J356" s="246"/>
      <c r="K356" s="274"/>
    </row>
    <row r="357" spans="1:11" ht="12" outlineLevel="2" x14ac:dyDescent="0.2">
      <c r="A357" s="247"/>
      <c r="B357" s="245"/>
      <c r="C357" s="250"/>
      <c r="D357" s="252"/>
      <c r="E357" s="254"/>
      <c r="F357" s="255">
        <v>1</v>
      </c>
      <c r="G357" s="29">
        <v>1</v>
      </c>
      <c r="H357" s="28"/>
      <c r="I357" s="245"/>
      <c r="J357" s="246"/>
      <c r="K357" s="274"/>
    </row>
    <row r="358" spans="1:11" ht="12" outlineLevel="2" x14ac:dyDescent="0.2">
      <c r="A358" s="247">
        <v>176</v>
      </c>
      <c r="B358" s="245"/>
      <c r="C358" s="250" t="s">
        <v>342</v>
      </c>
      <c r="D358" s="252" t="s">
        <v>343</v>
      </c>
      <c r="E358" s="254">
        <f t="shared" si="3"/>
        <v>2</v>
      </c>
      <c r="F358" s="255">
        <v>3165</v>
      </c>
      <c r="G358" s="27">
        <v>3165</v>
      </c>
      <c r="H358" s="28"/>
      <c r="I358" s="245"/>
      <c r="J358" s="246"/>
      <c r="K358" s="274"/>
    </row>
    <row r="359" spans="1:11" ht="12.75" customHeight="1" outlineLevel="2" x14ac:dyDescent="0.2">
      <c r="A359" s="247"/>
      <c r="B359" s="245"/>
      <c r="C359" s="250"/>
      <c r="D359" s="252"/>
      <c r="E359" s="254"/>
      <c r="F359" s="255">
        <v>2</v>
      </c>
      <c r="G359" s="29">
        <v>2</v>
      </c>
      <c r="H359" s="28"/>
      <c r="I359" s="245"/>
      <c r="J359" s="246"/>
      <c r="K359" s="274"/>
    </row>
    <row r="360" spans="1:11" ht="12" outlineLevel="2" x14ac:dyDescent="0.2">
      <c r="A360" s="247">
        <v>182</v>
      </c>
      <c r="B360" s="245"/>
      <c r="C360" s="250" t="s">
        <v>346</v>
      </c>
      <c r="D360" s="252" t="s">
        <v>347</v>
      </c>
      <c r="E360" s="254">
        <f>G361</f>
        <v>1</v>
      </c>
      <c r="F360" s="255">
        <v>7325</v>
      </c>
      <c r="G360" s="27">
        <v>7325</v>
      </c>
      <c r="H360" s="28"/>
      <c r="I360" s="245"/>
      <c r="J360" s="246"/>
      <c r="K360" s="274"/>
    </row>
    <row r="361" spans="1:11" ht="12" outlineLevel="2" x14ac:dyDescent="0.2">
      <c r="A361" s="247"/>
      <c r="B361" s="245"/>
      <c r="C361" s="250"/>
      <c r="D361" s="252"/>
      <c r="E361" s="254"/>
      <c r="F361" s="255">
        <v>1</v>
      </c>
      <c r="G361" s="29">
        <v>1</v>
      </c>
      <c r="H361" s="28"/>
      <c r="I361" s="245"/>
      <c r="J361" s="246"/>
      <c r="K361" s="274"/>
    </row>
    <row r="362" spans="1:11" ht="12" customHeight="1" outlineLevel="2" x14ac:dyDescent="0.2">
      <c r="A362" s="259">
        <v>193</v>
      </c>
      <c r="B362" s="260"/>
      <c r="C362" s="261" t="s">
        <v>348</v>
      </c>
      <c r="D362" s="262" t="s">
        <v>349</v>
      </c>
      <c r="E362" s="263">
        <f t="shared" ref="E362:E372" si="4">G363</f>
        <v>3</v>
      </c>
      <c r="F362" s="264">
        <v>10247.49</v>
      </c>
      <c r="G362" s="33">
        <v>10247.49</v>
      </c>
      <c r="H362" s="34"/>
      <c r="I362" s="260"/>
      <c r="J362" s="265"/>
      <c r="K362" s="273" t="s">
        <v>448</v>
      </c>
    </row>
    <row r="363" spans="1:11" ht="12" outlineLevel="2" x14ac:dyDescent="0.2">
      <c r="A363" s="259"/>
      <c r="B363" s="260"/>
      <c r="C363" s="261"/>
      <c r="D363" s="262"/>
      <c r="E363" s="263"/>
      <c r="F363" s="264">
        <v>3</v>
      </c>
      <c r="G363" s="35">
        <v>3</v>
      </c>
      <c r="H363" s="34"/>
      <c r="I363" s="260"/>
      <c r="J363" s="265"/>
      <c r="K363" s="273"/>
    </row>
    <row r="364" spans="1:11" ht="12" customHeight="1" outlineLevel="2" x14ac:dyDescent="0.2">
      <c r="A364" s="259">
        <v>194</v>
      </c>
      <c r="B364" s="260"/>
      <c r="C364" s="261" t="s">
        <v>350</v>
      </c>
      <c r="D364" s="262" t="s">
        <v>351</v>
      </c>
      <c r="E364" s="263">
        <f t="shared" si="4"/>
        <v>3</v>
      </c>
      <c r="F364" s="264">
        <v>8500</v>
      </c>
      <c r="G364" s="33">
        <v>8500</v>
      </c>
      <c r="H364" s="34"/>
      <c r="I364" s="260"/>
      <c r="J364" s="265"/>
      <c r="K364" s="273" t="s">
        <v>448</v>
      </c>
    </row>
    <row r="365" spans="1:11" ht="12" outlineLevel="2" x14ac:dyDescent="0.2">
      <c r="A365" s="259"/>
      <c r="B365" s="260"/>
      <c r="C365" s="261"/>
      <c r="D365" s="262"/>
      <c r="E365" s="263"/>
      <c r="F365" s="264">
        <v>3</v>
      </c>
      <c r="G365" s="35">
        <v>3</v>
      </c>
      <c r="H365" s="34"/>
      <c r="I365" s="260"/>
      <c r="J365" s="265"/>
      <c r="K365" s="273"/>
    </row>
    <row r="366" spans="1:11" ht="12" customHeight="1" outlineLevel="2" x14ac:dyDescent="0.2">
      <c r="A366" s="259">
        <v>195</v>
      </c>
      <c r="B366" s="260"/>
      <c r="C366" s="261" t="s">
        <v>352</v>
      </c>
      <c r="D366" s="262" t="s">
        <v>353</v>
      </c>
      <c r="E366" s="263">
        <f t="shared" si="4"/>
        <v>2</v>
      </c>
      <c r="F366" s="264">
        <v>6998.34</v>
      </c>
      <c r="G366" s="33">
        <v>6998.34</v>
      </c>
      <c r="H366" s="34"/>
      <c r="I366" s="260"/>
      <c r="J366" s="265"/>
      <c r="K366" s="273" t="s">
        <v>448</v>
      </c>
    </row>
    <row r="367" spans="1:11" ht="12" outlineLevel="2" x14ac:dyDescent="0.2">
      <c r="A367" s="259"/>
      <c r="B367" s="260"/>
      <c r="C367" s="261"/>
      <c r="D367" s="262"/>
      <c r="E367" s="263"/>
      <c r="F367" s="264">
        <v>2</v>
      </c>
      <c r="G367" s="35">
        <v>2</v>
      </c>
      <c r="H367" s="34"/>
      <c r="I367" s="260"/>
      <c r="J367" s="265"/>
      <c r="K367" s="273"/>
    </row>
    <row r="368" spans="1:11" ht="12" customHeight="1" outlineLevel="2" x14ac:dyDescent="0.2">
      <c r="A368" s="259">
        <v>196</v>
      </c>
      <c r="B368" s="260"/>
      <c r="C368" s="261" t="s">
        <v>354</v>
      </c>
      <c r="D368" s="262" t="s">
        <v>355</v>
      </c>
      <c r="E368" s="263">
        <f t="shared" si="4"/>
        <v>1</v>
      </c>
      <c r="F368" s="264">
        <v>633.33000000000004</v>
      </c>
      <c r="G368" s="49">
        <v>633.33000000000004</v>
      </c>
      <c r="H368" s="34"/>
      <c r="I368" s="260"/>
      <c r="J368" s="265"/>
      <c r="K368" s="273" t="s">
        <v>448</v>
      </c>
    </row>
    <row r="369" spans="1:11" ht="12" outlineLevel="2" x14ac:dyDescent="0.2">
      <c r="A369" s="259"/>
      <c r="B369" s="260"/>
      <c r="C369" s="261"/>
      <c r="D369" s="262"/>
      <c r="E369" s="263"/>
      <c r="F369" s="264">
        <v>1</v>
      </c>
      <c r="G369" s="35">
        <v>1</v>
      </c>
      <c r="H369" s="34"/>
      <c r="I369" s="260"/>
      <c r="J369" s="265"/>
      <c r="K369" s="273"/>
    </row>
    <row r="370" spans="1:11" ht="12" customHeight="1" outlineLevel="2" x14ac:dyDescent="0.2">
      <c r="A370" s="259">
        <v>197</v>
      </c>
      <c r="B370" s="260"/>
      <c r="C370" s="261" t="s">
        <v>356</v>
      </c>
      <c r="D370" s="262" t="s">
        <v>357</v>
      </c>
      <c r="E370" s="263">
        <f t="shared" si="4"/>
        <v>3</v>
      </c>
      <c r="F370" s="264">
        <v>9500</v>
      </c>
      <c r="G370" s="33">
        <v>9500</v>
      </c>
      <c r="H370" s="34"/>
      <c r="I370" s="260"/>
      <c r="J370" s="265"/>
      <c r="K370" s="273" t="s">
        <v>448</v>
      </c>
    </row>
    <row r="371" spans="1:11" ht="12" outlineLevel="2" x14ac:dyDescent="0.2">
      <c r="A371" s="259"/>
      <c r="B371" s="260"/>
      <c r="C371" s="261"/>
      <c r="D371" s="262"/>
      <c r="E371" s="263"/>
      <c r="F371" s="264">
        <v>3</v>
      </c>
      <c r="G371" s="35">
        <v>3</v>
      </c>
      <c r="H371" s="34"/>
      <c r="I371" s="260"/>
      <c r="J371" s="265"/>
      <c r="K371" s="273"/>
    </row>
    <row r="372" spans="1:11" ht="12" customHeight="1" outlineLevel="2" x14ac:dyDescent="0.2">
      <c r="A372" s="259">
        <v>198</v>
      </c>
      <c r="B372" s="260"/>
      <c r="C372" s="261" t="s">
        <v>358</v>
      </c>
      <c r="D372" s="262" t="s">
        <v>359</v>
      </c>
      <c r="E372" s="263">
        <f t="shared" si="4"/>
        <v>1</v>
      </c>
      <c r="F372" s="264">
        <v>1915.83</v>
      </c>
      <c r="G372" s="33">
        <v>1915.83</v>
      </c>
      <c r="H372" s="34"/>
      <c r="I372" s="260"/>
      <c r="J372" s="265"/>
      <c r="K372" s="273" t="s">
        <v>448</v>
      </c>
    </row>
    <row r="373" spans="1:11" ht="12" outlineLevel="2" x14ac:dyDescent="0.2">
      <c r="A373" s="259"/>
      <c r="B373" s="260"/>
      <c r="C373" s="261"/>
      <c r="D373" s="262"/>
      <c r="E373" s="263"/>
      <c r="F373" s="264">
        <v>1</v>
      </c>
      <c r="G373" s="35">
        <v>1</v>
      </c>
      <c r="H373" s="34"/>
      <c r="I373" s="260"/>
      <c r="J373" s="265"/>
      <c r="K373" s="273"/>
    </row>
    <row r="374" spans="1:11" ht="12" customHeight="1" outlineLevel="2" x14ac:dyDescent="0.2">
      <c r="A374" s="259">
        <v>211</v>
      </c>
      <c r="B374" s="260"/>
      <c r="C374" s="261" t="s">
        <v>360</v>
      </c>
      <c r="D374" s="262" t="s">
        <v>361</v>
      </c>
      <c r="E374" s="263">
        <f t="shared" ref="E374:E380" si="5">G375</f>
        <v>1</v>
      </c>
      <c r="F374" s="264">
        <v>2075</v>
      </c>
      <c r="G374" s="33">
        <v>2075</v>
      </c>
      <c r="H374" s="34"/>
      <c r="I374" s="260"/>
      <c r="J374" s="265"/>
      <c r="K374" s="273" t="s">
        <v>448</v>
      </c>
    </row>
    <row r="375" spans="1:11" ht="12" outlineLevel="2" x14ac:dyDescent="0.2">
      <c r="A375" s="259"/>
      <c r="B375" s="260"/>
      <c r="C375" s="261"/>
      <c r="D375" s="262"/>
      <c r="E375" s="263"/>
      <c r="F375" s="264">
        <v>1</v>
      </c>
      <c r="G375" s="35">
        <v>1</v>
      </c>
      <c r="H375" s="34"/>
      <c r="I375" s="260"/>
      <c r="J375" s="265"/>
      <c r="K375" s="273"/>
    </row>
    <row r="376" spans="1:11" ht="12" customHeight="1" outlineLevel="2" x14ac:dyDescent="0.2">
      <c r="A376" s="259">
        <v>212</v>
      </c>
      <c r="B376" s="260"/>
      <c r="C376" s="261" t="s">
        <v>362</v>
      </c>
      <c r="D376" s="262" t="s">
        <v>363</v>
      </c>
      <c r="E376" s="263">
        <f t="shared" si="5"/>
        <v>1</v>
      </c>
      <c r="F376" s="264">
        <v>2075</v>
      </c>
      <c r="G376" s="33">
        <v>2075</v>
      </c>
      <c r="H376" s="34"/>
      <c r="I376" s="260"/>
      <c r="J376" s="265"/>
      <c r="K376" s="273" t="s">
        <v>448</v>
      </c>
    </row>
    <row r="377" spans="1:11" ht="12" outlineLevel="2" x14ac:dyDescent="0.2">
      <c r="A377" s="259"/>
      <c r="B377" s="260"/>
      <c r="C377" s="261"/>
      <c r="D377" s="262"/>
      <c r="E377" s="263"/>
      <c r="F377" s="264">
        <v>1</v>
      </c>
      <c r="G377" s="35">
        <v>1</v>
      </c>
      <c r="H377" s="34"/>
      <c r="I377" s="260"/>
      <c r="J377" s="265"/>
      <c r="K377" s="273"/>
    </row>
    <row r="378" spans="1:11" ht="12" customHeight="1" outlineLevel="2" x14ac:dyDescent="0.2">
      <c r="A378" s="259">
        <v>213</v>
      </c>
      <c r="B378" s="260"/>
      <c r="C378" s="261" t="s">
        <v>364</v>
      </c>
      <c r="D378" s="262" t="s">
        <v>365</v>
      </c>
      <c r="E378" s="263">
        <f t="shared" si="5"/>
        <v>1</v>
      </c>
      <c r="F378" s="264">
        <v>2075</v>
      </c>
      <c r="G378" s="33">
        <v>2075</v>
      </c>
      <c r="H378" s="34"/>
      <c r="I378" s="260"/>
      <c r="J378" s="265"/>
      <c r="K378" s="273" t="s">
        <v>448</v>
      </c>
    </row>
    <row r="379" spans="1:11" ht="12" outlineLevel="2" x14ac:dyDescent="0.2">
      <c r="A379" s="259"/>
      <c r="B379" s="260"/>
      <c r="C379" s="261"/>
      <c r="D379" s="262"/>
      <c r="E379" s="263"/>
      <c r="F379" s="264">
        <v>1</v>
      </c>
      <c r="G379" s="35">
        <v>1</v>
      </c>
      <c r="H379" s="34"/>
      <c r="I379" s="260"/>
      <c r="J379" s="265"/>
      <c r="K379" s="273"/>
    </row>
    <row r="380" spans="1:11" ht="12" customHeight="1" outlineLevel="2" x14ac:dyDescent="0.2">
      <c r="A380" s="259">
        <v>214</v>
      </c>
      <c r="B380" s="260"/>
      <c r="C380" s="261" t="s">
        <v>366</v>
      </c>
      <c r="D380" s="262" t="s">
        <v>367</v>
      </c>
      <c r="E380" s="263">
        <f t="shared" si="5"/>
        <v>1</v>
      </c>
      <c r="F380" s="264">
        <v>2075</v>
      </c>
      <c r="G380" s="33">
        <v>2075</v>
      </c>
      <c r="H380" s="34"/>
      <c r="I380" s="260"/>
      <c r="J380" s="265"/>
      <c r="K380" s="273" t="s">
        <v>448</v>
      </c>
    </row>
    <row r="381" spans="1:11" ht="12" outlineLevel="2" x14ac:dyDescent="0.2">
      <c r="A381" s="259"/>
      <c r="B381" s="260"/>
      <c r="C381" s="261"/>
      <c r="D381" s="262"/>
      <c r="E381" s="263"/>
      <c r="F381" s="264">
        <v>1</v>
      </c>
      <c r="G381" s="35">
        <v>1</v>
      </c>
      <c r="H381" s="34"/>
      <c r="I381" s="260"/>
      <c r="J381" s="265"/>
      <c r="K381" s="273"/>
    </row>
    <row r="382" spans="1:11" ht="12" customHeight="1" outlineLevel="2" x14ac:dyDescent="0.2">
      <c r="A382" s="259">
        <v>217</v>
      </c>
      <c r="B382" s="260"/>
      <c r="C382" s="261" t="s">
        <v>368</v>
      </c>
      <c r="D382" s="262" t="s">
        <v>369</v>
      </c>
      <c r="E382" s="263">
        <f>G383</f>
        <v>1</v>
      </c>
      <c r="F382" s="264">
        <v>2849.17</v>
      </c>
      <c r="G382" s="33">
        <v>2849.17</v>
      </c>
      <c r="H382" s="34"/>
      <c r="I382" s="260"/>
      <c r="J382" s="265"/>
      <c r="K382" s="273" t="s">
        <v>448</v>
      </c>
    </row>
    <row r="383" spans="1:11" ht="12" outlineLevel="2" x14ac:dyDescent="0.2">
      <c r="A383" s="259"/>
      <c r="B383" s="260"/>
      <c r="C383" s="261"/>
      <c r="D383" s="262"/>
      <c r="E383" s="263"/>
      <c r="F383" s="264">
        <v>1</v>
      </c>
      <c r="G383" s="35">
        <v>1</v>
      </c>
      <c r="H383" s="34"/>
      <c r="I383" s="260"/>
      <c r="J383" s="265"/>
      <c r="K383" s="273"/>
    </row>
    <row r="384" spans="1:11" ht="12" outlineLevel="2" x14ac:dyDescent="0.2">
      <c r="A384" s="247">
        <v>220</v>
      </c>
      <c r="B384" s="245"/>
      <c r="C384" s="250" t="s">
        <v>370</v>
      </c>
      <c r="D384" s="252" t="s">
        <v>371</v>
      </c>
      <c r="E384" s="254">
        <f>G385</f>
        <v>1</v>
      </c>
      <c r="F384" s="255">
        <v>9175</v>
      </c>
      <c r="G384" s="27">
        <v>9175</v>
      </c>
      <c r="H384" s="28"/>
      <c r="I384" s="245"/>
      <c r="J384" s="246"/>
      <c r="K384" s="274"/>
    </row>
    <row r="385" spans="1:11" ht="12" outlineLevel="2" x14ac:dyDescent="0.2">
      <c r="A385" s="247"/>
      <c r="B385" s="245"/>
      <c r="C385" s="250"/>
      <c r="D385" s="252"/>
      <c r="E385" s="254"/>
      <c r="F385" s="255">
        <v>1</v>
      </c>
      <c r="G385" s="29">
        <v>1</v>
      </c>
      <c r="H385" s="28"/>
      <c r="I385" s="245"/>
      <c r="J385" s="246"/>
      <c r="K385" s="274"/>
    </row>
    <row r="386" spans="1:11" ht="12" outlineLevel="2" x14ac:dyDescent="0.2">
      <c r="A386" s="247">
        <v>221</v>
      </c>
      <c r="B386" s="245"/>
      <c r="C386" s="250" t="s">
        <v>372</v>
      </c>
      <c r="D386" s="252" t="s">
        <v>373</v>
      </c>
      <c r="E386" s="254">
        <f>G387</f>
        <v>2</v>
      </c>
      <c r="F386" s="255">
        <v>1333.33</v>
      </c>
      <c r="G386" s="27">
        <v>1333.33</v>
      </c>
      <c r="H386" s="28"/>
      <c r="I386" s="245"/>
      <c r="J386" s="246"/>
      <c r="K386" s="274"/>
    </row>
    <row r="387" spans="1:11" ht="12" outlineLevel="2" x14ac:dyDescent="0.2">
      <c r="A387" s="247"/>
      <c r="B387" s="245"/>
      <c r="C387" s="250"/>
      <c r="D387" s="252"/>
      <c r="E387" s="254"/>
      <c r="F387" s="255">
        <v>2</v>
      </c>
      <c r="G387" s="29">
        <v>2</v>
      </c>
      <c r="H387" s="28"/>
      <c r="I387" s="245"/>
      <c r="J387" s="246"/>
      <c r="K387" s="274"/>
    </row>
    <row r="388" spans="1:11" ht="12" outlineLevel="3" x14ac:dyDescent="0.2">
      <c r="A388" s="247">
        <v>224</v>
      </c>
      <c r="B388" s="245"/>
      <c r="C388" s="250" t="s">
        <v>374</v>
      </c>
      <c r="D388" s="252" t="s">
        <v>375</v>
      </c>
      <c r="E388" s="254">
        <f>H389</f>
        <v>1</v>
      </c>
      <c r="F388" s="255">
        <v>11291.67</v>
      </c>
      <c r="G388" s="28"/>
      <c r="H388" s="27">
        <v>11291.67</v>
      </c>
      <c r="I388" s="245"/>
      <c r="J388" s="246"/>
      <c r="K388" s="274"/>
    </row>
    <row r="389" spans="1:11" ht="12" outlineLevel="3" x14ac:dyDescent="0.2">
      <c r="A389" s="247"/>
      <c r="B389" s="245"/>
      <c r="C389" s="250"/>
      <c r="D389" s="252"/>
      <c r="E389" s="254"/>
      <c r="F389" s="255">
        <v>1</v>
      </c>
      <c r="G389" s="28"/>
      <c r="H389" s="29">
        <v>1</v>
      </c>
      <c r="I389" s="245"/>
      <c r="J389" s="246"/>
      <c r="K389" s="274"/>
    </row>
    <row r="390" spans="1:11" ht="12" outlineLevel="3" x14ac:dyDescent="0.2">
      <c r="A390" s="247">
        <v>225</v>
      </c>
      <c r="B390" s="245"/>
      <c r="C390" s="250" t="s">
        <v>185</v>
      </c>
      <c r="D390" s="252" t="s">
        <v>186</v>
      </c>
      <c r="E390" s="254">
        <f>H391</f>
        <v>1</v>
      </c>
      <c r="F390" s="255">
        <v>58332.5</v>
      </c>
      <c r="G390" s="28"/>
      <c r="H390" s="27">
        <v>58332.5</v>
      </c>
      <c r="I390" s="245"/>
      <c r="J390" s="246"/>
      <c r="K390" s="274"/>
    </row>
    <row r="391" spans="1:11" ht="12" outlineLevel="3" x14ac:dyDescent="0.2">
      <c r="A391" s="247"/>
      <c r="B391" s="245"/>
      <c r="C391" s="250"/>
      <c r="D391" s="252"/>
      <c r="E391" s="254"/>
      <c r="F391" s="255">
        <v>1</v>
      </c>
      <c r="G391" s="28"/>
      <c r="H391" s="29">
        <v>1</v>
      </c>
      <c r="I391" s="245"/>
      <c r="J391" s="246"/>
      <c r="K391" s="274"/>
    </row>
    <row r="392" spans="1:11" ht="12" outlineLevel="3" x14ac:dyDescent="0.2">
      <c r="A392" s="247">
        <v>226</v>
      </c>
      <c r="B392" s="245"/>
      <c r="C392" s="250" t="s">
        <v>376</v>
      </c>
      <c r="D392" s="252" t="s">
        <v>377</v>
      </c>
      <c r="E392" s="254">
        <f>H393</f>
        <v>1</v>
      </c>
      <c r="F392" s="255">
        <v>12491.67</v>
      </c>
      <c r="G392" s="28"/>
      <c r="H392" s="27">
        <v>12491.67</v>
      </c>
      <c r="I392" s="245"/>
      <c r="J392" s="246"/>
      <c r="K392" s="274"/>
    </row>
    <row r="393" spans="1:11" ht="12" outlineLevel="3" x14ac:dyDescent="0.2">
      <c r="A393" s="247"/>
      <c r="B393" s="245"/>
      <c r="C393" s="250"/>
      <c r="D393" s="252"/>
      <c r="E393" s="254"/>
      <c r="F393" s="255">
        <v>1</v>
      </c>
      <c r="G393" s="28"/>
      <c r="H393" s="29">
        <v>1</v>
      </c>
      <c r="I393" s="245"/>
      <c r="J393" s="246"/>
      <c r="K393" s="274"/>
    </row>
    <row r="394" spans="1:11" ht="12" outlineLevel="3" x14ac:dyDescent="0.2">
      <c r="A394" s="247">
        <v>227</v>
      </c>
      <c r="B394" s="245"/>
      <c r="C394" s="250" t="s">
        <v>378</v>
      </c>
      <c r="D394" s="252" t="s">
        <v>379</v>
      </c>
      <c r="E394" s="254">
        <f>H395</f>
        <v>1</v>
      </c>
      <c r="F394" s="255">
        <v>16287.5</v>
      </c>
      <c r="G394" s="28"/>
      <c r="H394" s="27">
        <v>16287.5</v>
      </c>
      <c r="I394" s="245"/>
      <c r="J394" s="246"/>
      <c r="K394" s="274"/>
    </row>
    <row r="395" spans="1:11" ht="12" outlineLevel="3" x14ac:dyDescent="0.2">
      <c r="A395" s="247"/>
      <c r="B395" s="245"/>
      <c r="C395" s="250"/>
      <c r="D395" s="252"/>
      <c r="E395" s="254"/>
      <c r="F395" s="255">
        <v>1</v>
      </c>
      <c r="G395" s="28"/>
      <c r="H395" s="29">
        <v>1</v>
      </c>
      <c r="I395" s="245"/>
      <c r="J395" s="246"/>
      <c r="K395" s="274"/>
    </row>
    <row r="396" spans="1:11" ht="12" outlineLevel="3" x14ac:dyDescent="0.2">
      <c r="A396" s="247">
        <v>228</v>
      </c>
      <c r="B396" s="245"/>
      <c r="C396" s="250" t="s">
        <v>380</v>
      </c>
      <c r="D396" s="252" t="s">
        <v>381</v>
      </c>
      <c r="E396" s="254">
        <f>H397</f>
        <v>1</v>
      </c>
      <c r="F396" s="255">
        <v>29614.17</v>
      </c>
      <c r="G396" s="28"/>
      <c r="H396" s="27">
        <v>29614.17</v>
      </c>
      <c r="I396" s="245"/>
      <c r="J396" s="246"/>
      <c r="K396" s="274"/>
    </row>
    <row r="397" spans="1:11" ht="12" outlineLevel="3" x14ac:dyDescent="0.2">
      <c r="A397" s="247"/>
      <c r="B397" s="245"/>
      <c r="C397" s="250"/>
      <c r="D397" s="252"/>
      <c r="E397" s="254"/>
      <c r="F397" s="255">
        <v>1</v>
      </c>
      <c r="G397" s="28"/>
      <c r="H397" s="29">
        <v>1</v>
      </c>
      <c r="I397" s="245"/>
      <c r="J397" s="246"/>
      <c r="K397" s="274"/>
    </row>
    <row r="398" spans="1:11" ht="12" customHeight="1" outlineLevel="3" x14ac:dyDescent="0.2">
      <c r="A398" s="259">
        <v>229</v>
      </c>
      <c r="B398" s="260"/>
      <c r="C398" s="261" t="s">
        <v>382</v>
      </c>
      <c r="D398" s="262" t="s">
        <v>383</v>
      </c>
      <c r="E398" s="263">
        <f>H399</f>
        <v>1</v>
      </c>
      <c r="F398" s="264">
        <v>19583.330000000002</v>
      </c>
      <c r="G398" s="34"/>
      <c r="H398" s="33">
        <v>19583.330000000002</v>
      </c>
      <c r="I398" s="260"/>
      <c r="J398" s="265"/>
      <c r="K398" s="273" t="s">
        <v>448</v>
      </c>
    </row>
    <row r="399" spans="1:11" ht="12" outlineLevel="3" x14ac:dyDescent="0.2">
      <c r="A399" s="259"/>
      <c r="B399" s="260"/>
      <c r="C399" s="261"/>
      <c r="D399" s="262"/>
      <c r="E399" s="263"/>
      <c r="F399" s="264">
        <v>1</v>
      </c>
      <c r="G399" s="34"/>
      <c r="H399" s="35">
        <v>1</v>
      </c>
      <c r="I399" s="260"/>
      <c r="J399" s="265"/>
      <c r="K399" s="273"/>
    </row>
    <row r="400" spans="1:11" ht="12" outlineLevel="3" x14ac:dyDescent="0.2">
      <c r="A400" s="247">
        <v>230</v>
      </c>
      <c r="B400" s="245"/>
      <c r="C400" s="250" t="s">
        <v>384</v>
      </c>
      <c r="D400" s="252" t="s">
        <v>385</v>
      </c>
      <c r="E400" s="254">
        <f>H401</f>
        <v>3</v>
      </c>
      <c r="F400" s="255">
        <v>14750</v>
      </c>
      <c r="G400" s="28"/>
      <c r="H400" s="27">
        <v>14750</v>
      </c>
      <c r="I400" s="245"/>
      <c r="J400" s="246"/>
      <c r="K400" s="274"/>
    </row>
    <row r="401" spans="1:11" ht="12" outlineLevel="3" x14ac:dyDescent="0.2">
      <c r="A401" s="247"/>
      <c r="B401" s="245"/>
      <c r="C401" s="250"/>
      <c r="D401" s="252"/>
      <c r="E401" s="254"/>
      <c r="F401" s="255">
        <v>3</v>
      </c>
      <c r="G401" s="28"/>
      <c r="H401" s="29">
        <v>3</v>
      </c>
      <c r="I401" s="245"/>
      <c r="J401" s="246"/>
      <c r="K401" s="274"/>
    </row>
    <row r="402" spans="1:11" ht="12" outlineLevel="3" x14ac:dyDescent="0.2">
      <c r="A402" s="247">
        <v>231</v>
      </c>
      <c r="B402" s="245"/>
      <c r="C402" s="250" t="s">
        <v>386</v>
      </c>
      <c r="D402" s="252" t="s">
        <v>387</v>
      </c>
      <c r="E402" s="254">
        <f>H403</f>
        <v>1</v>
      </c>
      <c r="F402" s="255">
        <v>46606.67</v>
      </c>
      <c r="G402" s="28"/>
      <c r="H402" s="27">
        <v>46606.67</v>
      </c>
      <c r="I402" s="245"/>
      <c r="J402" s="246"/>
      <c r="K402" s="274"/>
    </row>
    <row r="403" spans="1:11" ht="12" outlineLevel="3" x14ac:dyDescent="0.2">
      <c r="A403" s="247"/>
      <c r="B403" s="245"/>
      <c r="C403" s="250"/>
      <c r="D403" s="252"/>
      <c r="E403" s="254"/>
      <c r="F403" s="255">
        <v>1</v>
      </c>
      <c r="G403" s="28"/>
      <c r="H403" s="29">
        <v>1</v>
      </c>
      <c r="I403" s="245"/>
      <c r="J403" s="246"/>
      <c r="K403" s="274"/>
    </row>
    <row r="404" spans="1:11" ht="12" outlineLevel="3" x14ac:dyDescent="0.2">
      <c r="A404" s="247">
        <v>232</v>
      </c>
      <c r="B404" s="245"/>
      <c r="C404" s="250" t="s">
        <v>388</v>
      </c>
      <c r="D404" s="252" t="s">
        <v>389</v>
      </c>
      <c r="E404" s="254">
        <f>H405</f>
        <v>1</v>
      </c>
      <c r="F404" s="255">
        <v>37533.33</v>
      </c>
      <c r="G404" s="28"/>
      <c r="H404" s="27">
        <v>37533.33</v>
      </c>
      <c r="I404" s="245"/>
      <c r="J404" s="246"/>
      <c r="K404" s="274"/>
    </row>
    <row r="405" spans="1:11" ht="12" outlineLevel="3" x14ac:dyDescent="0.2">
      <c r="A405" s="247"/>
      <c r="B405" s="245"/>
      <c r="C405" s="250"/>
      <c r="D405" s="252"/>
      <c r="E405" s="254"/>
      <c r="F405" s="255">
        <v>1</v>
      </c>
      <c r="G405" s="28"/>
      <c r="H405" s="29">
        <v>1</v>
      </c>
      <c r="I405" s="245"/>
      <c r="J405" s="246"/>
      <c r="K405" s="274"/>
    </row>
    <row r="406" spans="1:11" ht="12" outlineLevel="3" x14ac:dyDescent="0.2">
      <c r="A406" s="247">
        <v>233</v>
      </c>
      <c r="B406" s="245"/>
      <c r="C406" s="250" t="s">
        <v>390</v>
      </c>
      <c r="D406" s="252" t="s">
        <v>391</v>
      </c>
      <c r="E406" s="254">
        <f>H407</f>
        <v>1</v>
      </c>
      <c r="F406" s="255">
        <v>12499.17</v>
      </c>
      <c r="G406" s="28"/>
      <c r="H406" s="27">
        <v>12499.17</v>
      </c>
      <c r="I406" s="245"/>
      <c r="J406" s="246"/>
      <c r="K406" s="274"/>
    </row>
    <row r="407" spans="1:11" ht="12" outlineLevel="3" x14ac:dyDescent="0.2">
      <c r="A407" s="247"/>
      <c r="B407" s="245"/>
      <c r="C407" s="250"/>
      <c r="D407" s="252"/>
      <c r="E407" s="254"/>
      <c r="F407" s="255">
        <v>1</v>
      </c>
      <c r="G407" s="28"/>
      <c r="H407" s="29">
        <v>1</v>
      </c>
      <c r="I407" s="245"/>
      <c r="J407" s="246"/>
      <c r="K407" s="274"/>
    </row>
    <row r="408" spans="1:11" ht="12" outlineLevel="3" x14ac:dyDescent="0.2">
      <c r="A408" s="247">
        <v>234</v>
      </c>
      <c r="B408" s="245"/>
      <c r="C408" s="250" t="s">
        <v>392</v>
      </c>
      <c r="D408" s="252" t="s">
        <v>393</v>
      </c>
      <c r="E408" s="254">
        <f>H409</f>
        <v>1</v>
      </c>
      <c r="F408" s="255">
        <v>10078.33</v>
      </c>
      <c r="G408" s="28"/>
      <c r="H408" s="27">
        <v>10078.33</v>
      </c>
      <c r="I408" s="245"/>
      <c r="J408" s="246"/>
      <c r="K408" s="274"/>
    </row>
    <row r="409" spans="1:11" ht="12" outlineLevel="3" x14ac:dyDescent="0.2">
      <c r="A409" s="247"/>
      <c r="B409" s="245"/>
      <c r="C409" s="250"/>
      <c r="D409" s="252"/>
      <c r="E409" s="254"/>
      <c r="F409" s="255">
        <v>1</v>
      </c>
      <c r="G409" s="28"/>
      <c r="H409" s="29">
        <v>1</v>
      </c>
      <c r="I409" s="245"/>
      <c r="J409" s="246"/>
      <c r="K409" s="274"/>
    </row>
    <row r="410" spans="1:11" ht="12" outlineLevel="3" x14ac:dyDescent="0.2">
      <c r="A410" s="247">
        <v>235</v>
      </c>
      <c r="B410" s="245"/>
      <c r="C410" s="250" t="s">
        <v>394</v>
      </c>
      <c r="D410" s="252" t="s">
        <v>395</v>
      </c>
      <c r="E410" s="254">
        <f>H411</f>
        <v>1</v>
      </c>
      <c r="F410" s="255">
        <v>6216.67</v>
      </c>
      <c r="G410" s="28"/>
      <c r="H410" s="27">
        <v>6216.67</v>
      </c>
      <c r="I410" s="245"/>
      <c r="J410" s="246"/>
      <c r="K410" s="274"/>
    </row>
    <row r="411" spans="1:11" ht="12" outlineLevel="3" x14ac:dyDescent="0.2">
      <c r="A411" s="247"/>
      <c r="B411" s="245"/>
      <c r="C411" s="250"/>
      <c r="D411" s="252"/>
      <c r="E411" s="254"/>
      <c r="F411" s="255">
        <v>1</v>
      </c>
      <c r="G411" s="28"/>
      <c r="H411" s="29">
        <v>1</v>
      </c>
      <c r="I411" s="245"/>
      <c r="J411" s="246"/>
      <c r="K411" s="274"/>
    </row>
    <row r="412" spans="1:11" ht="12" outlineLevel="3" x14ac:dyDescent="0.2">
      <c r="A412" s="247">
        <v>236</v>
      </c>
      <c r="B412" s="245"/>
      <c r="C412" s="250" t="s">
        <v>396</v>
      </c>
      <c r="D412" s="252" t="s">
        <v>397</v>
      </c>
      <c r="E412" s="254">
        <f>H413</f>
        <v>4</v>
      </c>
      <c r="F412" s="255">
        <v>40666.67</v>
      </c>
      <c r="G412" s="28"/>
      <c r="H412" s="27">
        <v>40666.67</v>
      </c>
      <c r="I412" s="245"/>
      <c r="J412" s="246"/>
      <c r="K412" s="274"/>
    </row>
    <row r="413" spans="1:11" ht="12" outlineLevel="3" x14ac:dyDescent="0.2">
      <c r="A413" s="247"/>
      <c r="B413" s="245"/>
      <c r="C413" s="250"/>
      <c r="D413" s="252"/>
      <c r="E413" s="254"/>
      <c r="F413" s="255">
        <v>4</v>
      </c>
      <c r="G413" s="28"/>
      <c r="H413" s="29">
        <v>4</v>
      </c>
      <c r="I413" s="245"/>
      <c r="J413" s="246"/>
      <c r="K413" s="274"/>
    </row>
    <row r="414" spans="1:11" ht="12" outlineLevel="3" x14ac:dyDescent="0.2">
      <c r="A414" s="247">
        <v>237</v>
      </c>
      <c r="B414" s="245"/>
      <c r="C414" s="250" t="s">
        <v>398</v>
      </c>
      <c r="D414" s="252" t="s">
        <v>399</v>
      </c>
      <c r="E414" s="254">
        <f>H415</f>
        <v>2</v>
      </c>
      <c r="F414" s="255">
        <v>87083.33</v>
      </c>
      <c r="G414" s="28"/>
      <c r="H414" s="27">
        <v>87083.33</v>
      </c>
      <c r="I414" s="245"/>
      <c r="J414" s="246"/>
      <c r="K414" s="274"/>
    </row>
    <row r="415" spans="1:11" ht="12" outlineLevel="3" x14ac:dyDescent="0.2">
      <c r="A415" s="247"/>
      <c r="B415" s="245"/>
      <c r="C415" s="250"/>
      <c r="D415" s="252"/>
      <c r="E415" s="254"/>
      <c r="F415" s="255">
        <v>2</v>
      </c>
      <c r="G415" s="28"/>
      <c r="H415" s="29">
        <v>2</v>
      </c>
      <c r="I415" s="245"/>
      <c r="J415" s="246"/>
      <c r="K415" s="274"/>
    </row>
    <row r="416" spans="1:11" ht="12" outlineLevel="3" x14ac:dyDescent="0.2">
      <c r="A416" s="247">
        <v>238</v>
      </c>
      <c r="B416" s="245"/>
      <c r="C416" s="250" t="s">
        <v>400</v>
      </c>
      <c r="D416" s="252" t="s">
        <v>401</v>
      </c>
      <c r="E416" s="254">
        <f>H417</f>
        <v>6</v>
      </c>
      <c r="F416" s="255">
        <v>374450</v>
      </c>
      <c r="G416" s="28"/>
      <c r="H416" s="27">
        <v>374450</v>
      </c>
      <c r="I416" s="245"/>
      <c r="J416" s="246"/>
      <c r="K416" s="274"/>
    </row>
    <row r="417" spans="1:11" ht="12" outlineLevel="3" x14ac:dyDescent="0.2">
      <c r="A417" s="247"/>
      <c r="B417" s="245"/>
      <c r="C417" s="250"/>
      <c r="D417" s="252"/>
      <c r="E417" s="254"/>
      <c r="F417" s="255">
        <v>6</v>
      </c>
      <c r="G417" s="28"/>
      <c r="H417" s="29">
        <v>6</v>
      </c>
      <c r="I417" s="245"/>
      <c r="J417" s="246"/>
      <c r="K417" s="274"/>
    </row>
    <row r="418" spans="1:11" ht="12" outlineLevel="3" x14ac:dyDescent="0.2">
      <c r="A418" s="247">
        <v>239</v>
      </c>
      <c r="B418" s="245"/>
      <c r="C418" s="250" t="s">
        <v>402</v>
      </c>
      <c r="D418" s="252" t="s">
        <v>403</v>
      </c>
      <c r="E418" s="254">
        <f>H419</f>
        <v>1</v>
      </c>
      <c r="F418" s="255">
        <v>65832.5</v>
      </c>
      <c r="G418" s="28"/>
      <c r="H418" s="27">
        <v>65832.5</v>
      </c>
      <c r="I418" s="245"/>
      <c r="J418" s="246"/>
      <c r="K418" s="274"/>
    </row>
    <row r="419" spans="1:11" ht="12" outlineLevel="3" x14ac:dyDescent="0.2">
      <c r="A419" s="247"/>
      <c r="B419" s="245"/>
      <c r="C419" s="250"/>
      <c r="D419" s="252"/>
      <c r="E419" s="254"/>
      <c r="F419" s="255">
        <v>1</v>
      </c>
      <c r="G419" s="28"/>
      <c r="H419" s="29">
        <v>1</v>
      </c>
      <c r="I419" s="245"/>
      <c r="J419" s="246"/>
      <c r="K419" s="274"/>
    </row>
    <row r="420" spans="1:11" ht="12" outlineLevel="3" x14ac:dyDescent="0.2">
      <c r="A420" s="247">
        <v>240</v>
      </c>
      <c r="B420" s="245"/>
      <c r="C420" s="250" t="s">
        <v>404</v>
      </c>
      <c r="D420" s="252" t="s">
        <v>405</v>
      </c>
      <c r="E420" s="254">
        <f>H421</f>
        <v>1</v>
      </c>
      <c r="F420" s="255">
        <v>16250</v>
      </c>
      <c r="G420" s="28"/>
      <c r="H420" s="27">
        <v>16250</v>
      </c>
      <c r="I420" s="245"/>
      <c r="J420" s="246"/>
      <c r="K420" s="274"/>
    </row>
    <row r="421" spans="1:11" ht="12" outlineLevel="3" x14ac:dyDescent="0.2">
      <c r="A421" s="247"/>
      <c r="B421" s="245"/>
      <c r="C421" s="250"/>
      <c r="D421" s="252"/>
      <c r="E421" s="254"/>
      <c r="F421" s="255">
        <v>1</v>
      </c>
      <c r="G421" s="28"/>
      <c r="H421" s="29">
        <v>1</v>
      </c>
      <c r="I421" s="245"/>
      <c r="J421" s="246"/>
      <c r="K421" s="274"/>
    </row>
    <row r="422" spans="1:11" ht="12" outlineLevel="3" x14ac:dyDescent="0.2">
      <c r="A422" s="247">
        <v>241</v>
      </c>
      <c r="B422" s="245"/>
      <c r="C422" s="250" t="s">
        <v>406</v>
      </c>
      <c r="D422" s="252" t="s">
        <v>407</v>
      </c>
      <c r="E422" s="254">
        <f>H423</f>
        <v>2</v>
      </c>
      <c r="F422" s="255">
        <v>23635</v>
      </c>
      <c r="G422" s="28"/>
      <c r="H422" s="27">
        <v>23635</v>
      </c>
      <c r="I422" s="245"/>
      <c r="J422" s="246"/>
      <c r="K422" s="274"/>
    </row>
    <row r="423" spans="1:11" ht="12" outlineLevel="3" x14ac:dyDescent="0.2">
      <c r="A423" s="247"/>
      <c r="B423" s="245"/>
      <c r="C423" s="250"/>
      <c r="D423" s="252"/>
      <c r="E423" s="254"/>
      <c r="F423" s="255">
        <v>2</v>
      </c>
      <c r="G423" s="28"/>
      <c r="H423" s="29">
        <v>2</v>
      </c>
      <c r="I423" s="245"/>
      <c r="J423" s="246"/>
      <c r="K423" s="274"/>
    </row>
    <row r="424" spans="1:11" ht="12" outlineLevel="3" x14ac:dyDescent="0.2">
      <c r="A424" s="247">
        <v>242</v>
      </c>
      <c r="B424" s="245"/>
      <c r="C424" s="250" t="s">
        <v>408</v>
      </c>
      <c r="D424" s="252" t="s">
        <v>409</v>
      </c>
      <c r="E424" s="254">
        <f>H425</f>
        <v>1</v>
      </c>
      <c r="F424" s="255">
        <v>37499.17</v>
      </c>
      <c r="G424" s="28"/>
      <c r="H424" s="27">
        <v>37499.17</v>
      </c>
      <c r="I424" s="245"/>
      <c r="J424" s="246"/>
      <c r="K424" s="274"/>
    </row>
    <row r="425" spans="1:11" ht="12" outlineLevel="3" x14ac:dyDescent="0.2">
      <c r="A425" s="247"/>
      <c r="B425" s="245"/>
      <c r="C425" s="250"/>
      <c r="D425" s="252"/>
      <c r="E425" s="254"/>
      <c r="F425" s="255">
        <v>1</v>
      </c>
      <c r="G425" s="28"/>
      <c r="H425" s="29">
        <v>1</v>
      </c>
      <c r="I425" s="245"/>
      <c r="J425" s="246"/>
      <c r="K425" s="274"/>
    </row>
    <row r="426" spans="1:11" ht="12" outlineLevel="3" x14ac:dyDescent="0.2">
      <c r="A426" s="247">
        <v>243</v>
      </c>
      <c r="B426" s="245"/>
      <c r="C426" s="250" t="s">
        <v>410</v>
      </c>
      <c r="D426" s="252" t="s">
        <v>411</v>
      </c>
      <c r="E426" s="254">
        <f>H427</f>
        <v>5</v>
      </c>
      <c r="F426" s="255">
        <v>943360.3</v>
      </c>
      <c r="G426" s="27">
        <v>550293.51</v>
      </c>
      <c r="H426" s="27">
        <v>393066.79</v>
      </c>
      <c r="I426" s="245"/>
      <c r="J426" s="246"/>
      <c r="K426" s="274"/>
    </row>
    <row r="427" spans="1:11" ht="12" outlineLevel="3" x14ac:dyDescent="0.2">
      <c r="A427" s="247"/>
      <c r="B427" s="245"/>
      <c r="C427" s="250"/>
      <c r="D427" s="252"/>
      <c r="E427" s="254"/>
      <c r="F427" s="255">
        <v>12</v>
      </c>
      <c r="G427" s="29">
        <v>7</v>
      </c>
      <c r="H427" s="29">
        <v>5</v>
      </c>
      <c r="I427" s="245"/>
      <c r="J427" s="246"/>
      <c r="K427" s="274"/>
    </row>
    <row r="428" spans="1:11" ht="12" outlineLevel="3" x14ac:dyDescent="0.2">
      <c r="A428" s="247">
        <v>244</v>
      </c>
      <c r="B428" s="245"/>
      <c r="C428" s="250" t="s">
        <v>412</v>
      </c>
      <c r="D428" s="252" t="s">
        <v>413</v>
      </c>
      <c r="E428" s="254">
        <f>H429</f>
        <v>2</v>
      </c>
      <c r="F428" s="255">
        <v>9330</v>
      </c>
      <c r="G428" s="28"/>
      <c r="H428" s="27">
        <v>9330</v>
      </c>
      <c r="I428" s="245"/>
      <c r="J428" s="246"/>
      <c r="K428" s="274"/>
    </row>
    <row r="429" spans="1:11" ht="12" outlineLevel="3" x14ac:dyDescent="0.2">
      <c r="A429" s="247"/>
      <c r="B429" s="245"/>
      <c r="C429" s="250"/>
      <c r="D429" s="252"/>
      <c r="E429" s="254"/>
      <c r="F429" s="255">
        <v>2</v>
      </c>
      <c r="G429" s="28"/>
      <c r="H429" s="29">
        <v>2</v>
      </c>
      <c r="I429" s="245"/>
      <c r="J429" s="246"/>
      <c r="K429" s="274"/>
    </row>
    <row r="430" spans="1:11" ht="12" outlineLevel="3" x14ac:dyDescent="0.2">
      <c r="A430" s="247">
        <v>245</v>
      </c>
      <c r="B430" s="245"/>
      <c r="C430" s="250" t="s">
        <v>414</v>
      </c>
      <c r="D430" s="252" t="s">
        <v>415</v>
      </c>
      <c r="E430" s="254">
        <f>H431</f>
        <v>1</v>
      </c>
      <c r="F430" s="255">
        <v>5380</v>
      </c>
      <c r="G430" s="28"/>
      <c r="H430" s="27">
        <v>5380</v>
      </c>
      <c r="I430" s="245"/>
      <c r="J430" s="246"/>
      <c r="K430" s="274"/>
    </row>
    <row r="431" spans="1:11" ht="12" outlineLevel="3" x14ac:dyDescent="0.2">
      <c r="A431" s="247"/>
      <c r="B431" s="245"/>
      <c r="C431" s="250"/>
      <c r="D431" s="252"/>
      <c r="E431" s="254"/>
      <c r="F431" s="255">
        <v>1</v>
      </c>
      <c r="G431" s="28"/>
      <c r="H431" s="29">
        <v>1</v>
      </c>
      <c r="I431" s="245"/>
      <c r="J431" s="246"/>
      <c r="K431" s="274"/>
    </row>
    <row r="432" spans="1:11" ht="12" outlineLevel="3" x14ac:dyDescent="0.2">
      <c r="A432" s="247">
        <v>246</v>
      </c>
      <c r="B432" s="245"/>
      <c r="C432" s="250" t="s">
        <v>416</v>
      </c>
      <c r="D432" s="252" t="s">
        <v>417</v>
      </c>
      <c r="E432" s="254">
        <f>H433</f>
        <v>1</v>
      </c>
      <c r="F432" s="255">
        <v>24583.33</v>
      </c>
      <c r="G432" s="28"/>
      <c r="H432" s="27">
        <v>24583.33</v>
      </c>
      <c r="I432" s="245"/>
      <c r="J432" s="246"/>
      <c r="K432" s="274"/>
    </row>
    <row r="433" spans="1:11" ht="12" outlineLevel="3" x14ac:dyDescent="0.2">
      <c r="A433" s="247"/>
      <c r="B433" s="245"/>
      <c r="C433" s="250"/>
      <c r="D433" s="252"/>
      <c r="E433" s="254"/>
      <c r="F433" s="255">
        <v>1</v>
      </c>
      <c r="G433" s="28"/>
      <c r="H433" s="29">
        <v>1</v>
      </c>
      <c r="I433" s="245"/>
      <c r="J433" s="246"/>
      <c r="K433" s="274"/>
    </row>
    <row r="434" spans="1:11" ht="12" outlineLevel="3" x14ac:dyDescent="0.2">
      <c r="A434" s="247">
        <v>247</v>
      </c>
      <c r="B434" s="245"/>
      <c r="C434" s="250" t="s">
        <v>418</v>
      </c>
      <c r="D434" s="252" t="s">
        <v>419</v>
      </c>
      <c r="E434" s="254">
        <f>H435</f>
        <v>2</v>
      </c>
      <c r="F434" s="255">
        <v>24035</v>
      </c>
      <c r="G434" s="28"/>
      <c r="H434" s="27">
        <v>24035</v>
      </c>
      <c r="I434" s="245"/>
      <c r="J434" s="246"/>
      <c r="K434" s="274"/>
    </row>
    <row r="435" spans="1:11" ht="12" outlineLevel="3" x14ac:dyDescent="0.2">
      <c r="A435" s="247"/>
      <c r="B435" s="245"/>
      <c r="C435" s="250"/>
      <c r="D435" s="252"/>
      <c r="E435" s="254"/>
      <c r="F435" s="255">
        <v>2</v>
      </c>
      <c r="G435" s="28"/>
      <c r="H435" s="29">
        <v>2</v>
      </c>
      <c r="I435" s="245"/>
      <c r="J435" s="246"/>
      <c r="K435" s="274"/>
    </row>
    <row r="436" spans="1:11" ht="12" outlineLevel="3" x14ac:dyDescent="0.2">
      <c r="A436" s="247">
        <v>248</v>
      </c>
      <c r="B436" s="245"/>
      <c r="C436" s="250" t="s">
        <v>420</v>
      </c>
      <c r="D436" s="252" t="s">
        <v>421</v>
      </c>
      <c r="E436" s="254">
        <f>H437</f>
        <v>1</v>
      </c>
      <c r="F436" s="255">
        <v>16105</v>
      </c>
      <c r="G436" s="28"/>
      <c r="H436" s="27">
        <v>16105</v>
      </c>
      <c r="I436" s="245"/>
      <c r="J436" s="246"/>
      <c r="K436" s="274"/>
    </row>
    <row r="437" spans="1:11" ht="12" outlineLevel="3" x14ac:dyDescent="0.2">
      <c r="A437" s="247"/>
      <c r="B437" s="245"/>
      <c r="C437" s="250"/>
      <c r="D437" s="252"/>
      <c r="E437" s="254"/>
      <c r="F437" s="255">
        <v>1</v>
      </c>
      <c r="G437" s="28"/>
      <c r="H437" s="29">
        <v>1</v>
      </c>
      <c r="I437" s="245"/>
      <c r="J437" s="246"/>
      <c r="K437" s="274"/>
    </row>
    <row r="438" spans="1:11" ht="12" outlineLevel="3" x14ac:dyDescent="0.2">
      <c r="A438" s="247">
        <v>249</v>
      </c>
      <c r="B438" s="245"/>
      <c r="C438" s="250" t="s">
        <v>422</v>
      </c>
      <c r="D438" s="252" t="s">
        <v>423</v>
      </c>
      <c r="E438" s="254">
        <f>H439</f>
        <v>1</v>
      </c>
      <c r="F438" s="255">
        <v>37083.33</v>
      </c>
      <c r="G438" s="28"/>
      <c r="H438" s="27">
        <v>37083.33</v>
      </c>
      <c r="I438" s="245"/>
      <c r="J438" s="246"/>
      <c r="K438" s="274"/>
    </row>
    <row r="439" spans="1:11" ht="12" outlineLevel="3" x14ac:dyDescent="0.2">
      <c r="A439" s="247"/>
      <c r="B439" s="245"/>
      <c r="C439" s="250"/>
      <c r="D439" s="252"/>
      <c r="E439" s="254"/>
      <c r="F439" s="255">
        <v>1</v>
      </c>
      <c r="G439" s="28"/>
      <c r="H439" s="29">
        <v>1</v>
      </c>
      <c r="I439" s="245"/>
      <c r="J439" s="246"/>
      <c r="K439" s="274"/>
    </row>
    <row r="440" spans="1:11" ht="12" outlineLevel="3" x14ac:dyDescent="0.2">
      <c r="A440" s="247">
        <v>250</v>
      </c>
      <c r="B440" s="245"/>
      <c r="C440" s="250" t="s">
        <v>424</v>
      </c>
      <c r="D440" s="252" t="s">
        <v>425</v>
      </c>
      <c r="E440" s="254">
        <f>H441</f>
        <v>1</v>
      </c>
      <c r="F440" s="255">
        <v>31665.83</v>
      </c>
      <c r="G440" s="28"/>
      <c r="H440" s="27">
        <v>31665.83</v>
      </c>
      <c r="I440" s="245"/>
      <c r="J440" s="246"/>
      <c r="K440" s="274"/>
    </row>
    <row r="441" spans="1:11" ht="12" outlineLevel="3" x14ac:dyDescent="0.2">
      <c r="A441" s="247"/>
      <c r="B441" s="245"/>
      <c r="C441" s="250"/>
      <c r="D441" s="252"/>
      <c r="E441" s="254"/>
      <c r="F441" s="255">
        <v>1</v>
      </c>
      <c r="G441" s="28"/>
      <c r="H441" s="29">
        <v>1</v>
      </c>
      <c r="I441" s="245"/>
      <c r="J441" s="246"/>
      <c r="K441" s="274"/>
    </row>
    <row r="442" spans="1:11" ht="12" outlineLevel="3" x14ac:dyDescent="0.2">
      <c r="A442" s="247">
        <v>251</v>
      </c>
      <c r="B442" s="245"/>
      <c r="C442" s="250" t="s">
        <v>426</v>
      </c>
      <c r="D442" s="252" t="s">
        <v>427</v>
      </c>
      <c r="E442" s="254">
        <f>H443</f>
        <v>1</v>
      </c>
      <c r="F442" s="255">
        <v>17100</v>
      </c>
      <c r="G442" s="28"/>
      <c r="H442" s="27">
        <v>17100</v>
      </c>
      <c r="I442" s="245"/>
      <c r="J442" s="246"/>
      <c r="K442" s="274"/>
    </row>
    <row r="443" spans="1:11" ht="12" outlineLevel="3" x14ac:dyDescent="0.2">
      <c r="A443" s="247"/>
      <c r="B443" s="245"/>
      <c r="C443" s="250"/>
      <c r="D443" s="252"/>
      <c r="E443" s="254"/>
      <c r="F443" s="255">
        <v>1</v>
      </c>
      <c r="G443" s="28"/>
      <c r="H443" s="29">
        <v>1</v>
      </c>
      <c r="I443" s="245"/>
      <c r="J443" s="246"/>
      <c r="K443" s="274"/>
    </row>
    <row r="444" spans="1:11" ht="12" outlineLevel="3" x14ac:dyDescent="0.2">
      <c r="A444" s="247">
        <v>252</v>
      </c>
      <c r="B444" s="245"/>
      <c r="C444" s="250" t="s">
        <v>428</v>
      </c>
      <c r="D444" s="252" t="s">
        <v>429</v>
      </c>
      <c r="E444" s="254">
        <f>H445</f>
        <v>2</v>
      </c>
      <c r="F444" s="255">
        <v>3316.66</v>
      </c>
      <c r="G444" s="28"/>
      <c r="H444" s="27">
        <v>3316.66</v>
      </c>
      <c r="I444" s="245"/>
      <c r="J444" s="246"/>
      <c r="K444" s="274"/>
    </row>
    <row r="445" spans="1:11" ht="12" outlineLevel="3" x14ac:dyDescent="0.2">
      <c r="A445" s="247"/>
      <c r="B445" s="245"/>
      <c r="C445" s="250"/>
      <c r="D445" s="252"/>
      <c r="E445" s="254"/>
      <c r="F445" s="255">
        <v>2</v>
      </c>
      <c r="G445" s="28"/>
      <c r="H445" s="29">
        <v>2</v>
      </c>
      <c r="I445" s="245"/>
      <c r="J445" s="246"/>
      <c r="K445" s="274"/>
    </row>
    <row r="446" spans="1:11" ht="12" outlineLevel="3" x14ac:dyDescent="0.2">
      <c r="A446" s="247">
        <v>253</v>
      </c>
      <c r="B446" s="245"/>
      <c r="C446" s="250" t="s">
        <v>430</v>
      </c>
      <c r="D446" s="252" t="s">
        <v>431</v>
      </c>
      <c r="E446" s="254">
        <f>H447</f>
        <v>1</v>
      </c>
      <c r="F446" s="255">
        <v>50537.5</v>
      </c>
      <c r="G446" s="28"/>
      <c r="H446" s="27">
        <v>50537.5</v>
      </c>
      <c r="I446" s="245"/>
      <c r="J446" s="246"/>
      <c r="K446" s="274"/>
    </row>
    <row r="447" spans="1:11" ht="12" outlineLevel="3" x14ac:dyDescent="0.2">
      <c r="A447" s="247"/>
      <c r="B447" s="245"/>
      <c r="C447" s="250"/>
      <c r="D447" s="252"/>
      <c r="E447" s="254"/>
      <c r="F447" s="255">
        <v>1</v>
      </c>
      <c r="G447" s="28"/>
      <c r="H447" s="29">
        <v>1</v>
      </c>
      <c r="I447" s="245"/>
      <c r="J447" s="246"/>
      <c r="K447" s="274"/>
    </row>
    <row r="448" spans="1:11" ht="12" outlineLevel="3" x14ac:dyDescent="0.2">
      <c r="A448" s="247">
        <v>254</v>
      </c>
      <c r="B448" s="245"/>
      <c r="C448" s="250" t="s">
        <v>432</v>
      </c>
      <c r="D448" s="252" t="s">
        <v>433</v>
      </c>
      <c r="E448" s="254">
        <f>H449</f>
        <v>1</v>
      </c>
      <c r="F448" s="255">
        <v>4552.5</v>
      </c>
      <c r="G448" s="28"/>
      <c r="H448" s="27">
        <v>4552.5</v>
      </c>
      <c r="I448" s="245"/>
      <c r="J448" s="246"/>
      <c r="K448" s="274"/>
    </row>
    <row r="449" spans="1:11" ht="12" outlineLevel="3" x14ac:dyDescent="0.2">
      <c r="A449" s="247"/>
      <c r="B449" s="245"/>
      <c r="C449" s="250"/>
      <c r="D449" s="252"/>
      <c r="E449" s="254"/>
      <c r="F449" s="255">
        <v>1</v>
      </c>
      <c r="G449" s="28"/>
      <c r="H449" s="29">
        <v>1</v>
      </c>
      <c r="I449" s="245"/>
      <c r="J449" s="246"/>
      <c r="K449" s="274"/>
    </row>
    <row r="450" spans="1:11" ht="12" outlineLevel="3" x14ac:dyDescent="0.2">
      <c r="A450" s="247">
        <v>255</v>
      </c>
      <c r="B450" s="245"/>
      <c r="C450" s="250" t="s">
        <v>434</v>
      </c>
      <c r="D450" s="252" t="s">
        <v>435</v>
      </c>
      <c r="E450" s="254">
        <f>H451</f>
        <v>1</v>
      </c>
      <c r="F450" s="255">
        <v>4408.33</v>
      </c>
      <c r="G450" s="28"/>
      <c r="H450" s="27">
        <v>4408.33</v>
      </c>
      <c r="I450" s="245"/>
      <c r="J450" s="246"/>
      <c r="K450" s="274"/>
    </row>
    <row r="451" spans="1:11" ht="12" outlineLevel="3" x14ac:dyDescent="0.2">
      <c r="A451" s="248"/>
      <c r="B451" s="249"/>
      <c r="C451" s="251"/>
      <c r="D451" s="253"/>
      <c r="E451" s="256"/>
      <c r="F451" s="257">
        <v>1</v>
      </c>
      <c r="G451" s="30"/>
      <c r="H451" s="31">
        <v>1</v>
      </c>
      <c r="I451" s="249"/>
      <c r="J451" s="258"/>
      <c r="K451" s="295"/>
    </row>
    <row r="452" spans="1:11" ht="12.75" customHeight="1" x14ac:dyDescent="0.2">
      <c r="A452" s="259">
        <v>256</v>
      </c>
      <c r="B452" s="260"/>
      <c r="C452" s="261" t="s">
        <v>956</v>
      </c>
      <c r="D452" s="262" t="s">
        <v>957</v>
      </c>
      <c r="E452" s="263">
        <v>4</v>
      </c>
      <c r="F452" s="264">
        <v>756.67</v>
      </c>
      <c r="G452" s="90"/>
      <c r="H452" s="91">
        <v>756.67</v>
      </c>
      <c r="I452" s="90"/>
      <c r="J452" s="91"/>
      <c r="K452" s="90"/>
    </row>
    <row r="453" spans="1:11" ht="12.75" customHeight="1" x14ac:dyDescent="0.2">
      <c r="A453" s="300"/>
      <c r="B453" s="301"/>
      <c r="C453" s="298"/>
      <c r="D453" s="299"/>
      <c r="E453" s="296"/>
      <c r="F453" s="297"/>
      <c r="G453" s="90"/>
      <c r="H453" s="92">
        <v>4</v>
      </c>
      <c r="I453" s="90"/>
      <c r="J453" s="92"/>
      <c r="K453" s="90"/>
    </row>
    <row r="454" spans="1:11" ht="12" customHeight="1" x14ac:dyDescent="0.2">
      <c r="A454" s="259">
        <v>257</v>
      </c>
      <c r="B454" s="260"/>
      <c r="C454" s="261" t="s">
        <v>958</v>
      </c>
      <c r="D454" s="262" t="s">
        <v>959</v>
      </c>
      <c r="E454" s="263">
        <v>2</v>
      </c>
      <c r="F454" s="264">
        <v>703.33</v>
      </c>
      <c r="G454" s="90"/>
      <c r="H454" s="91">
        <v>703.33</v>
      </c>
      <c r="I454" s="90"/>
      <c r="J454" s="91"/>
      <c r="K454" s="90"/>
    </row>
    <row r="455" spans="1:11" ht="12" x14ac:dyDescent="0.2">
      <c r="A455" s="300"/>
      <c r="B455" s="301"/>
      <c r="C455" s="298"/>
      <c r="D455" s="299"/>
      <c r="E455" s="296"/>
      <c r="F455" s="297"/>
      <c r="G455" s="90"/>
      <c r="H455" s="92">
        <v>2</v>
      </c>
      <c r="I455" s="90"/>
      <c r="J455" s="92"/>
      <c r="K455" s="90"/>
    </row>
    <row r="456" spans="1:11" ht="12" customHeight="1" x14ac:dyDescent="0.2">
      <c r="A456" s="259">
        <v>258</v>
      </c>
      <c r="B456" s="260"/>
      <c r="C456" s="261" t="s">
        <v>960</v>
      </c>
      <c r="D456" s="262" t="s">
        <v>961</v>
      </c>
      <c r="E456" s="263">
        <v>1</v>
      </c>
      <c r="F456" s="264">
        <v>3843.33</v>
      </c>
      <c r="G456" s="90"/>
      <c r="H456" s="93">
        <v>3843.33</v>
      </c>
      <c r="I456" s="90"/>
      <c r="J456" s="93"/>
      <c r="K456" s="90"/>
    </row>
    <row r="457" spans="1:11" ht="12" x14ac:dyDescent="0.2">
      <c r="A457" s="300"/>
      <c r="B457" s="301"/>
      <c r="C457" s="298"/>
      <c r="D457" s="299"/>
      <c r="E457" s="296"/>
      <c r="F457" s="297"/>
      <c r="G457" s="90"/>
      <c r="H457" s="92">
        <v>1</v>
      </c>
      <c r="I457" s="90"/>
      <c r="J457" s="92"/>
      <c r="K457" s="90"/>
    </row>
    <row r="458" spans="1:11" ht="12" x14ac:dyDescent="0.2">
      <c r="A458" s="247">
        <v>260</v>
      </c>
      <c r="B458" s="245"/>
      <c r="C458" s="250" t="s">
        <v>962</v>
      </c>
      <c r="D458" s="252" t="s">
        <v>963</v>
      </c>
      <c r="E458" s="254">
        <v>1</v>
      </c>
      <c r="F458" s="255">
        <v>633702.38</v>
      </c>
      <c r="G458" s="98"/>
      <c r="H458" s="99">
        <v>633702.38</v>
      </c>
      <c r="I458" s="100"/>
      <c r="J458" s="43"/>
      <c r="K458" s="101"/>
    </row>
    <row r="459" spans="1:11" ht="12" x14ac:dyDescent="0.2">
      <c r="A459" s="248"/>
      <c r="B459" s="249"/>
      <c r="C459" s="251"/>
      <c r="D459" s="253"/>
      <c r="E459" s="256"/>
      <c r="F459" s="257"/>
      <c r="G459" s="98"/>
      <c r="H459" s="102">
        <v>1</v>
      </c>
      <c r="I459" s="100"/>
      <c r="J459" s="43"/>
      <c r="K459" s="101"/>
    </row>
    <row r="460" spans="1:11" ht="12" x14ac:dyDescent="0.2">
      <c r="A460" s="259">
        <v>261</v>
      </c>
      <c r="B460" s="260"/>
      <c r="C460" s="261" t="s">
        <v>964</v>
      </c>
      <c r="D460" s="262" t="s">
        <v>965</v>
      </c>
      <c r="E460" s="263">
        <v>3</v>
      </c>
      <c r="F460" s="264">
        <v>49764</v>
      </c>
      <c r="G460" s="94"/>
      <c r="H460" s="95">
        <v>49764</v>
      </c>
    </row>
    <row r="461" spans="1:11" ht="12" x14ac:dyDescent="0.2">
      <c r="A461" s="300"/>
      <c r="B461" s="301"/>
      <c r="C461" s="298"/>
      <c r="D461" s="299"/>
      <c r="E461" s="296"/>
      <c r="F461" s="297"/>
      <c r="G461" s="94"/>
      <c r="H461" s="96">
        <v>3</v>
      </c>
    </row>
    <row r="462" spans="1:11" ht="12" x14ac:dyDescent="0.2">
      <c r="A462" s="259">
        <v>262</v>
      </c>
      <c r="B462" s="260"/>
      <c r="C462" s="261" t="s">
        <v>966</v>
      </c>
      <c r="D462" s="262" t="s">
        <v>967</v>
      </c>
      <c r="E462" s="263">
        <v>3</v>
      </c>
      <c r="F462" s="264">
        <v>16590</v>
      </c>
      <c r="G462" s="94"/>
      <c r="H462" s="95">
        <v>16590</v>
      </c>
    </row>
    <row r="463" spans="1:11" ht="12" x14ac:dyDescent="0.2">
      <c r="A463" s="300"/>
      <c r="B463" s="301"/>
      <c r="C463" s="298"/>
      <c r="D463" s="299"/>
      <c r="E463" s="296"/>
      <c r="F463" s="297"/>
      <c r="G463" s="94"/>
      <c r="H463" s="96">
        <v>3</v>
      </c>
    </row>
    <row r="464" spans="1:11" ht="12" x14ac:dyDescent="0.2">
      <c r="A464" s="259">
        <v>263</v>
      </c>
      <c r="B464" s="260"/>
      <c r="C464" s="261" t="s">
        <v>968</v>
      </c>
      <c r="D464" s="262" t="s">
        <v>969</v>
      </c>
      <c r="E464" s="263">
        <v>1</v>
      </c>
      <c r="F464" s="264">
        <v>590.83000000000004</v>
      </c>
      <c r="G464" s="94"/>
      <c r="H464" s="97">
        <v>590.83000000000004</v>
      </c>
    </row>
    <row r="465" spans="1:11" ht="12" x14ac:dyDescent="0.2">
      <c r="A465" s="300"/>
      <c r="B465" s="301"/>
      <c r="C465" s="298"/>
      <c r="D465" s="299"/>
      <c r="E465" s="296"/>
      <c r="F465" s="297"/>
      <c r="G465" s="94"/>
      <c r="H465" s="96">
        <v>1</v>
      </c>
    </row>
    <row r="466" spans="1:11" ht="12" x14ac:dyDescent="0.2">
      <c r="A466" s="259">
        <v>264</v>
      </c>
      <c r="B466" s="260"/>
      <c r="C466" s="261" t="s">
        <v>970</v>
      </c>
      <c r="D466" s="262" t="s">
        <v>971</v>
      </c>
      <c r="E466" s="263">
        <v>4</v>
      </c>
      <c r="F466" s="264">
        <v>46000</v>
      </c>
      <c r="G466" s="103"/>
      <c r="H466" s="104">
        <v>46000</v>
      </c>
      <c r="I466" s="105"/>
      <c r="J466" s="44"/>
      <c r="K466" s="302" t="s">
        <v>994</v>
      </c>
    </row>
    <row r="467" spans="1:11" ht="12" x14ac:dyDescent="0.2">
      <c r="A467" s="300"/>
      <c r="B467" s="301"/>
      <c r="C467" s="298"/>
      <c r="D467" s="299"/>
      <c r="E467" s="296"/>
      <c r="F467" s="297"/>
      <c r="G467" s="103"/>
      <c r="H467" s="106">
        <v>4</v>
      </c>
      <c r="I467" s="105"/>
      <c r="J467" s="44"/>
      <c r="K467" s="302"/>
    </row>
    <row r="468" spans="1:11" ht="12" customHeight="1" x14ac:dyDescent="0.2">
      <c r="A468" s="259">
        <v>265</v>
      </c>
      <c r="B468" s="260"/>
      <c r="C468" s="261" t="s">
        <v>972</v>
      </c>
      <c r="D468" s="262" t="s">
        <v>973</v>
      </c>
      <c r="E468" s="263">
        <v>1</v>
      </c>
      <c r="F468" s="264">
        <v>7982</v>
      </c>
      <c r="G468" s="94"/>
      <c r="H468" s="95">
        <v>7982</v>
      </c>
    </row>
    <row r="469" spans="1:11" ht="12" x14ac:dyDescent="0.2">
      <c r="A469" s="300"/>
      <c r="B469" s="301"/>
      <c r="C469" s="298"/>
      <c r="D469" s="299"/>
      <c r="E469" s="296"/>
      <c r="F469" s="297"/>
      <c r="G469" s="94"/>
      <c r="H469" s="96">
        <v>1</v>
      </c>
    </row>
    <row r="470" spans="1:11" ht="12" customHeight="1" x14ac:dyDescent="0.2">
      <c r="A470" s="259">
        <v>266</v>
      </c>
      <c r="B470" s="260"/>
      <c r="C470" s="261" t="s">
        <v>974</v>
      </c>
      <c r="D470" s="262" t="s">
        <v>975</v>
      </c>
      <c r="E470" s="263">
        <v>1</v>
      </c>
      <c r="F470" s="264">
        <v>7982</v>
      </c>
      <c r="G470" s="94"/>
      <c r="H470" s="95">
        <v>7982</v>
      </c>
    </row>
    <row r="471" spans="1:11" ht="12" x14ac:dyDescent="0.2">
      <c r="A471" s="300"/>
      <c r="B471" s="301"/>
      <c r="C471" s="298"/>
      <c r="D471" s="299"/>
      <c r="E471" s="296"/>
      <c r="F471" s="297"/>
      <c r="G471" s="94"/>
      <c r="H471" s="96">
        <v>1</v>
      </c>
    </row>
    <row r="472" spans="1:11" ht="12" customHeight="1" x14ac:dyDescent="0.2">
      <c r="A472" s="259">
        <v>267</v>
      </c>
      <c r="B472" s="260"/>
      <c r="C472" s="261" t="s">
        <v>976</v>
      </c>
      <c r="D472" s="262" t="s">
        <v>977</v>
      </c>
      <c r="E472" s="263">
        <v>1</v>
      </c>
      <c r="F472" s="264">
        <v>7982</v>
      </c>
      <c r="G472" s="94"/>
      <c r="H472" s="95">
        <v>7982</v>
      </c>
    </row>
    <row r="473" spans="1:11" ht="12" x14ac:dyDescent="0.2">
      <c r="A473" s="300"/>
      <c r="B473" s="301"/>
      <c r="C473" s="298"/>
      <c r="D473" s="299"/>
      <c r="E473" s="296"/>
      <c r="F473" s="297"/>
      <c r="G473" s="94"/>
      <c r="H473" s="96">
        <v>1</v>
      </c>
    </row>
    <row r="474" spans="1:11" ht="12" x14ac:dyDescent="0.2">
      <c r="A474" s="259">
        <v>268</v>
      </c>
      <c r="B474" s="260"/>
      <c r="C474" s="261" t="s">
        <v>978</v>
      </c>
      <c r="D474" s="262" t="s">
        <v>979</v>
      </c>
      <c r="E474" s="263">
        <v>1</v>
      </c>
      <c r="F474" s="264">
        <v>1191.67</v>
      </c>
      <c r="G474" s="94"/>
      <c r="H474" s="95">
        <v>1191.67</v>
      </c>
    </row>
    <row r="475" spans="1:11" ht="12" x14ac:dyDescent="0.2">
      <c r="A475" s="300"/>
      <c r="B475" s="301"/>
      <c r="C475" s="298"/>
      <c r="D475" s="299"/>
      <c r="E475" s="296"/>
      <c r="F475" s="297"/>
      <c r="G475" s="94"/>
      <c r="H475" s="96">
        <v>1</v>
      </c>
    </row>
    <row r="476" spans="1:11" ht="12" x14ac:dyDescent="0.2">
      <c r="A476" s="259">
        <v>269</v>
      </c>
      <c r="B476" s="260"/>
      <c r="C476" s="261" t="s">
        <v>980</v>
      </c>
      <c r="D476" s="262" t="s">
        <v>981</v>
      </c>
      <c r="E476" s="263">
        <v>3</v>
      </c>
      <c r="F476" s="264">
        <v>2025</v>
      </c>
      <c r="G476" s="94"/>
      <c r="H476" s="95">
        <v>2025</v>
      </c>
    </row>
    <row r="477" spans="1:11" ht="12.75" customHeight="1" x14ac:dyDescent="0.2">
      <c r="A477" s="300"/>
      <c r="B477" s="301"/>
      <c r="C477" s="298"/>
      <c r="D477" s="299"/>
      <c r="E477" s="296"/>
      <c r="F477" s="297"/>
      <c r="G477" s="94"/>
      <c r="H477" s="96">
        <v>3</v>
      </c>
    </row>
    <row r="478" spans="1:11" ht="12" x14ac:dyDescent="0.2">
      <c r="A478" s="247">
        <v>271</v>
      </c>
      <c r="B478" s="245"/>
      <c r="C478" s="250" t="s">
        <v>982</v>
      </c>
      <c r="D478" s="252" t="s">
        <v>983</v>
      </c>
      <c r="E478" s="254">
        <v>1</v>
      </c>
      <c r="F478" s="255">
        <v>42417.97</v>
      </c>
      <c r="G478" s="98"/>
      <c r="H478" s="99">
        <v>42417.97</v>
      </c>
      <c r="I478" s="100"/>
      <c r="J478" s="43"/>
      <c r="K478" s="101"/>
    </row>
    <row r="479" spans="1:11" ht="12" x14ac:dyDescent="0.2">
      <c r="A479" s="248"/>
      <c r="B479" s="249"/>
      <c r="C479" s="251"/>
      <c r="D479" s="253"/>
      <c r="E479" s="256"/>
      <c r="F479" s="257"/>
      <c r="G479" s="98"/>
      <c r="H479" s="102">
        <v>1</v>
      </c>
      <c r="I479" s="100"/>
      <c r="J479" s="43"/>
      <c r="K479" s="101"/>
    </row>
    <row r="480" spans="1:11" ht="12" customHeight="1" x14ac:dyDescent="0.2">
      <c r="A480" s="259">
        <v>274</v>
      </c>
      <c r="B480" s="260"/>
      <c r="C480" s="261" t="s">
        <v>984</v>
      </c>
      <c r="D480" s="262" t="s">
        <v>985</v>
      </c>
      <c r="E480" s="263">
        <v>5</v>
      </c>
      <c r="F480" s="264">
        <v>2541.67</v>
      </c>
      <c r="G480" s="94"/>
      <c r="H480" s="95">
        <v>2541.67</v>
      </c>
    </row>
    <row r="481" spans="1:11" ht="12" x14ac:dyDescent="0.2">
      <c r="A481" s="300"/>
      <c r="B481" s="301"/>
      <c r="C481" s="298"/>
      <c r="D481" s="299"/>
      <c r="E481" s="296"/>
      <c r="F481" s="297"/>
      <c r="G481" s="94"/>
      <c r="H481" s="96">
        <v>5</v>
      </c>
    </row>
    <row r="482" spans="1:11" ht="12" customHeight="1" x14ac:dyDescent="0.2">
      <c r="A482" s="259">
        <v>275</v>
      </c>
      <c r="B482" s="260"/>
      <c r="C482" s="261" t="s">
        <v>992</v>
      </c>
      <c r="D482" s="262" t="s">
        <v>986</v>
      </c>
      <c r="E482" s="263">
        <v>1</v>
      </c>
      <c r="F482" s="264">
        <v>120000</v>
      </c>
      <c r="G482" s="103"/>
      <c r="H482" s="104">
        <v>120000</v>
      </c>
      <c r="I482" s="105"/>
      <c r="J482" s="44"/>
      <c r="K482" s="302" t="s">
        <v>994</v>
      </c>
    </row>
    <row r="483" spans="1:11" ht="12" x14ac:dyDescent="0.2">
      <c r="A483" s="300"/>
      <c r="B483" s="301"/>
      <c r="C483" s="298"/>
      <c r="D483" s="299"/>
      <c r="E483" s="296"/>
      <c r="F483" s="297"/>
      <c r="G483" s="103"/>
      <c r="H483" s="106">
        <v>1</v>
      </c>
      <c r="I483" s="105"/>
      <c r="J483" s="44"/>
      <c r="K483" s="302"/>
    </row>
    <row r="484" spans="1:11" ht="12" customHeight="1" x14ac:dyDescent="0.2">
      <c r="A484" s="259">
        <v>276</v>
      </c>
      <c r="B484" s="260"/>
      <c r="C484" s="261" t="s">
        <v>993</v>
      </c>
      <c r="D484" s="262" t="s">
        <v>987</v>
      </c>
      <c r="E484" s="263">
        <v>1</v>
      </c>
      <c r="F484" s="264">
        <v>78000</v>
      </c>
      <c r="G484" s="103"/>
      <c r="H484" s="104">
        <v>78000</v>
      </c>
      <c r="I484" s="105"/>
      <c r="J484" s="44"/>
      <c r="K484" s="302" t="s">
        <v>994</v>
      </c>
    </row>
    <row r="485" spans="1:11" ht="12" x14ac:dyDescent="0.2">
      <c r="A485" s="300"/>
      <c r="B485" s="301"/>
      <c r="C485" s="298"/>
      <c r="D485" s="299"/>
      <c r="E485" s="296"/>
      <c r="F485" s="297"/>
      <c r="G485" s="103"/>
      <c r="H485" s="106">
        <v>1</v>
      </c>
      <c r="I485" s="105"/>
      <c r="J485" s="44"/>
      <c r="K485" s="302"/>
    </row>
    <row r="486" spans="1:11" ht="12" x14ac:dyDescent="0.2">
      <c r="A486" s="259">
        <v>277</v>
      </c>
      <c r="B486" s="260"/>
      <c r="C486" s="261" t="s">
        <v>988</v>
      </c>
      <c r="D486" s="262" t="s">
        <v>989</v>
      </c>
      <c r="E486" s="263">
        <v>3</v>
      </c>
      <c r="F486" s="264">
        <v>1500</v>
      </c>
      <c r="G486" s="94"/>
      <c r="H486" s="95">
        <v>1500</v>
      </c>
    </row>
    <row r="487" spans="1:11" ht="12" x14ac:dyDescent="0.2">
      <c r="A487" s="300"/>
      <c r="B487" s="301"/>
      <c r="C487" s="298"/>
      <c r="D487" s="299"/>
      <c r="E487" s="296"/>
      <c r="F487" s="297"/>
      <c r="G487" s="94"/>
      <c r="H487" s="96">
        <v>3</v>
      </c>
    </row>
    <row r="488" spans="1:11" ht="12" x14ac:dyDescent="0.2">
      <c r="A488" s="259">
        <v>278</v>
      </c>
      <c r="B488" s="260"/>
      <c r="C488" s="261" t="s">
        <v>990</v>
      </c>
      <c r="D488" s="262" t="s">
        <v>991</v>
      </c>
      <c r="E488" s="263">
        <v>2</v>
      </c>
      <c r="F488" s="264">
        <v>2738.33</v>
      </c>
      <c r="G488" s="94"/>
      <c r="H488" s="95">
        <v>2738.33</v>
      </c>
    </row>
    <row r="489" spans="1:11" ht="12" x14ac:dyDescent="0.2">
      <c r="A489" s="300"/>
      <c r="B489" s="301"/>
      <c r="C489" s="298"/>
      <c r="D489" s="299"/>
      <c r="E489" s="296"/>
      <c r="F489" s="297"/>
      <c r="G489" s="94"/>
      <c r="H489" s="96">
        <v>2</v>
      </c>
    </row>
  </sheetData>
  <autoFilter ref="A3:J489"/>
  <mergeCells count="2127">
    <mergeCell ref="E486:E487"/>
    <mergeCell ref="F486:F487"/>
    <mergeCell ref="E488:E489"/>
    <mergeCell ref="F488:F489"/>
    <mergeCell ref="E480:E481"/>
    <mergeCell ref="F480:F481"/>
    <mergeCell ref="E482:E483"/>
    <mergeCell ref="F482:F483"/>
    <mergeCell ref="E484:E485"/>
    <mergeCell ref="F484:F485"/>
    <mergeCell ref="E472:E473"/>
    <mergeCell ref="F472:F473"/>
    <mergeCell ref="E478:E479"/>
    <mergeCell ref="F478:F479"/>
    <mergeCell ref="E474:E475"/>
    <mergeCell ref="F474:F475"/>
    <mergeCell ref="E476:E477"/>
    <mergeCell ref="F476:F477"/>
    <mergeCell ref="F464:F465"/>
    <mergeCell ref="E466:E467"/>
    <mergeCell ref="F466:F467"/>
    <mergeCell ref="E468:E469"/>
    <mergeCell ref="F468:F469"/>
    <mergeCell ref="E470:E471"/>
    <mergeCell ref="F470:F471"/>
    <mergeCell ref="E458:E459"/>
    <mergeCell ref="F458:F459"/>
    <mergeCell ref="E460:E461"/>
    <mergeCell ref="F460:F461"/>
    <mergeCell ref="K482:K483"/>
    <mergeCell ref="K484:K485"/>
    <mergeCell ref="K466:K467"/>
    <mergeCell ref="E462:E463"/>
    <mergeCell ref="F462:F463"/>
    <mergeCell ref="E464:E465"/>
    <mergeCell ref="D480:D481"/>
    <mergeCell ref="D482:D483"/>
    <mergeCell ref="D484:D485"/>
    <mergeCell ref="D486:D487"/>
    <mergeCell ref="D488:D489"/>
    <mergeCell ref="D472:D473"/>
    <mergeCell ref="D474:D475"/>
    <mergeCell ref="D476:D477"/>
    <mergeCell ref="D478:D479"/>
    <mergeCell ref="D458:D459"/>
    <mergeCell ref="D460:D461"/>
    <mergeCell ref="D462:D463"/>
    <mergeCell ref="D464:D465"/>
    <mergeCell ref="D466:D467"/>
    <mergeCell ref="D468:D469"/>
    <mergeCell ref="D470:D471"/>
    <mergeCell ref="A486:A487"/>
    <mergeCell ref="A488:A489"/>
    <mergeCell ref="A478:A479"/>
    <mergeCell ref="A480:A481"/>
    <mergeCell ref="A482:A483"/>
    <mergeCell ref="A484:A485"/>
    <mergeCell ref="C486:C487"/>
    <mergeCell ref="C482:C483"/>
    <mergeCell ref="C484:C485"/>
    <mergeCell ref="A468:A469"/>
    <mergeCell ref="A470:A471"/>
    <mergeCell ref="A472:A473"/>
    <mergeCell ref="A474:A475"/>
    <mergeCell ref="A476:A477"/>
    <mergeCell ref="B486:B487"/>
    <mergeCell ref="B482:B483"/>
    <mergeCell ref="B484:B485"/>
    <mergeCell ref="B478:B479"/>
    <mergeCell ref="B474:B475"/>
    <mergeCell ref="B488:B489"/>
    <mergeCell ref="C488:C489"/>
    <mergeCell ref="A458:A459"/>
    <mergeCell ref="A460:A461"/>
    <mergeCell ref="A462:A463"/>
    <mergeCell ref="A464:A465"/>
    <mergeCell ref="A466:A467"/>
    <mergeCell ref="B480:B481"/>
    <mergeCell ref="C480:C481"/>
    <mergeCell ref="C478:C479"/>
    <mergeCell ref="C474:C475"/>
    <mergeCell ref="B476:B477"/>
    <mergeCell ref="C476:C477"/>
    <mergeCell ref="B468:B469"/>
    <mergeCell ref="C468:C469"/>
    <mergeCell ref="B470:B471"/>
    <mergeCell ref="C470:C471"/>
    <mergeCell ref="B472:B473"/>
    <mergeCell ref="C472:C473"/>
    <mergeCell ref="B462:B463"/>
    <mergeCell ref="C462:C463"/>
    <mergeCell ref="B464:B465"/>
    <mergeCell ref="C464:C465"/>
    <mergeCell ref="B466:B467"/>
    <mergeCell ref="C466:C467"/>
    <mergeCell ref="B458:B459"/>
    <mergeCell ref="C458:C459"/>
    <mergeCell ref="B460:B461"/>
    <mergeCell ref="C460:C461"/>
    <mergeCell ref="E452:E453"/>
    <mergeCell ref="F452:F453"/>
    <mergeCell ref="E454:E455"/>
    <mergeCell ref="F454:F455"/>
    <mergeCell ref="E456:E457"/>
    <mergeCell ref="F456:F457"/>
    <mergeCell ref="C452:C453"/>
    <mergeCell ref="D452:D453"/>
    <mergeCell ref="C454:C455"/>
    <mergeCell ref="D454:D455"/>
    <mergeCell ref="C456:C457"/>
    <mergeCell ref="D456:D457"/>
    <mergeCell ref="A452:A453"/>
    <mergeCell ref="B452:B453"/>
    <mergeCell ref="A454:A455"/>
    <mergeCell ref="B454:B455"/>
    <mergeCell ref="A456:A457"/>
    <mergeCell ref="B456:B457"/>
    <mergeCell ref="L2:S2"/>
    <mergeCell ref="K450:K451"/>
    <mergeCell ref="K438:K439"/>
    <mergeCell ref="K440:K441"/>
    <mergeCell ref="K442:K443"/>
    <mergeCell ref="K444:K445"/>
    <mergeCell ref="K446:K447"/>
    <mergeCell ref="K448:K449"/>
    <mergeCell ref="K426:K427"/>
    <mergeCell ref="K428:K429"/>
    <mergeCell ref="K430:K431"/>
    <mergeCell ref="K432:K433"/>
    <mergeCell ref="K434:K435"/>
    <mergeCell ref="K436:K437"/>
    <mergeCell ref="K414:K415"/>
    <mergeCell ref="K416:K417"/>
    <mergeCell ref="K418:K419"/>
    <mergeCell ref="K420:K421"/>
    <mergeCell ref="K422:K423"/>
    <mergeCell ref="K424:K425"/>
    <mergeCell ref="K402:K403"/>
    <mergeCell ref="K404:K405"/>
    <mergeCell ref="K406:K407"/>
    <mergeCell ref="K408:K409"/>
    <mergeCell ref="K410:K411"/>
    <mergeCell ref="K412:K413"/>
    <mergeCell ref="K390:K391"/>
    <mergeCell ref="K392:K393"/>
    <mergeCell ref="K394:K395"/>
    <mergeCell ref="K396:K397"/>
    <mergeCell ref="K398:K399"/>
    <mergeCell ref="K400:K401"/>
    <mergeCell ref="K378:K379"/>
    <mergeCell ref="K380:K381"/>
    <mergeCell ref="K382:K383"/>
    <mergeCell ref="K384:K385"/>
    <mergeCell ref="K386:K387"/>
    <mergeCell ref="K388:K389"/>
    <mergeCell ref="K366:K367"/>
    <mergeCell ref="K368:K369"/>
    <mergeCell ref="K370:K371"/>
    <mergeCell ref="K372:K373"/>
    <mergeCell ref="K374:K375"/>
    <mergeCell ref="K376:K377"/>
    <mergeCell ref="K354:K355"/>
    <mergeCell ref="K356:K357"/>
    <mergeCell ref="K358:K359"/>
    <mergeCell ref="K360:K361"/>
    <mergeCell ref="K362:K363"/>
    <mergeCell ref="K364:K365"/>
    <mergeCell ref="K342:K343"/>
    <mergeCell ref="K344:K345"/>
    <mergeCell ref="K346:K347"/>
    <mergeCell ref="K348:K349"/>
    <mergeCell ref="K350:K351"/>
    <mergeCell ref="K352:K353"/>
    <mergeCell ref="K330:K331"/>
    <mergeCell ref="K332:K333"/>
    <mergeCell ref="K334:K335"/>
    <mergeCell ref="K336:K337"/>
    <mergeCell ref="K338:K339"/>
    <mergeCell ref="K340:K341"/>
    <mergeCell ref="K318:K319"/>
    <mergeCell ref="K320:K321"/>
    <mergeCell ref="K322:K323"/>
    <mergeCell ref="K324:K325"/>
    <mergeCell ref="K326:K327"/>
    <mergeCell ref="K328:K329"/>
    <mergeCell ref="K306:K307"/>
    <mergeCell ref="K308:K309"/>
    <mergeCell ref="K310:K311"/>
    <mergeCell ref="K312:K313"/>
    <mergeCell ref="K314:K315"/>
    <mergeCell ref="K316:K317"/>
    <mergeCell ref="K294:K295"/>
    <mergeCell ref="K296:K297"/>
    <mergeCell ref="K298:K299"/>
    <mergeCell ref="K300:K301"/>
    <mergeCell ref="K302:K303"/>
    <mergeCell ref="K304:K305"/>
    <mergeCell ref="K282:K283"/>
    <mergeCell ref="K284:K285"/>
    <mergeCell ref="K286:K287"/>
    <mergeCell ref="K288:K289"/>
    <mergeCell ref="K290:K291"/>
    <mergeCell ref="K292:K293"/>
    <mergeCell ref="K270:K271"/>
    <mergeCell ref="K272:K273"/>
    <mergeCell ref="K274:K275"/>
    <mergeCell ref="K276:K277"/>
    <mergeCell ref="K278:K279"/>
    <mergeCell ref="K280:K281"/>
    <mergeCell ref="K258:K259"/>
    <mergeCell ref="K260:K261"/>
    <mergeCell ref="K262:K263"/>
    <mergeCell ref="K264:K265"/>
    <mergeCell ref="K266:K267"/>
    <mergeCell ref="K268:K269"/>
    <mergeCell ref="K246:K247"/>
    <mergeCell ref="K248:K249"/>
    <mergeCell ref="K250:K251"/>
    <mergeCell ref="K252:K253"/>
    <mergeCell ref="K254:K255"/>
    <mergeCell ref="K256:K257"/>
    <mergeCell ref="K234:K235"/>
    <mergeCell ref="K236:K237"/>
    <mergeCell ref="K238:K239"/>
    <mergeCell ref="K240:K241"/>
    <mergeCell ref="K242:K243"/>
    <mergeCell ref="K244:K245"/>
    <mergeCell ref="K222:K223"/>
    <mergeCell ref="K224:K225"/>
    <mergeCell ref="K226:K227"/>
    <mergeCell ref="K228:K229"/>
    <mergeCell ref="K230:K231"/>
    <mergeCell ref="K232:K233"/>
    <mergeCell ref="K210:K211"/>
    <mergeCell ref="K212:K213"/>
    <mergeCell ref="K214:K215"/>
    <mergeCell ref="K216:K217"/>
    <mergeCell ref="K218:K219"/>
    <mergeCell ref="K220:K221"/>
    <mergeCell ref="K198:K199"/>
    <mergeCell ref="K200:K201"/>
    <mergeCell ref="K202:K203"/>
    <mergeCell ref="K204:K205"/>
    <mergeCell ref="K206:K207"/>
    <mergeCell ref="K208:K209"/>
    <mergeCell ref="K186:K187"/>
    <mergeCell ref="K188:K189"/>
    <mergeCell ref="K190:K191"/>
    <mergeCell ref="K192:K193"/>
    <mergeCell ref="K194:K195"/>
    <mergeCell ref="K196:K197"/>
    <mergeCell ref="K174:K175"/>
    <mergeCell ref="K176:K177"/>
    <mergeCell ref="K178:K179"/>
    <mergeCell ref="K180:K181"/>
    <mergeCell ref="K182:K183"/>
    <mergeCell ref="K184:K185"/>
    <mergeCell ref="K162:K163"/>
    <mergeCell ref="K164:K165"/>
    <mergeCell ref="K166:K167"/>
    <mergeCell ref="K168:K169"/>
    <mergeCell ref="K170:K171"/>
    <mergeCell ref="K172:K173"/>
    <mergeCell ref="K150:K151"/>
    <mergeCell ref="K152:K153"/>
    <mergeCell ref="K154:K155"/>
    <mergeCell ref="K156:K157"/>
    <mergeCell ref="K158:K159"/>
    <mergeCell ref="K160:K161"/>
    <mergeCell ref="K138:K139"/>
    <mergeCell ref="K140:K141"/>
    <mergeCell ref="K142:K143"/>
    <mergeCell ref="K144:K145"/>
    <mergeCell ref="K146:K147"/>
    <mergeCell ref="K148:K149"/>
    <mergeCell ref="K126:K127"/>
    <mergeCell ref="K128:K129"/>
    <mergeCell ref="K130:K131"/>
    <mergeCell ref="K132:K133"/>
    <mergeCell ref="K134:K135"/>
    <mergeCell ref="K136:K137"/>
    <mergeCell ref="K114:K115"/>
    <mergeCell ref="K116:K117"/>
    <mergeCell ref="K118:K119"/>
    <mergeCell ref="K120:K121"/>
    <mergeCell ref="K122:K123"/>
    <mergeCell ref="K124:K125"/>
    <mergeCell ref="K102:K103"/>
    <mergeCell ref="K104:K105"/>
    <mergeCell ref="K106:K107"/>
    <mergeCell ref="K108:K109"/>
    <mergeCell ref="K110:K111"/>
    <mergeCell ref="K112:K113"/>
    <mergeCell ref="K90:K91"/>
    <mergeCell ref="K92:K93"/>
    <mergeCell ref="K94:K95"/>
    <mergeCell ref="K96:K97"/>
    <mergeCell ref="K98:K99"/>
    <mergeCell ref="K100:K101"/>
    <mergeCell ref="K78:K79"/>
    <mergeCell ref="K80:K81"/>
    <mergeCell ref="K82:K83"/>
    <mergeCell ref="K84:K85"/>
    <mergeCell ref="K86:K87"/>
    <mergeCell ref="K88:K89"/>
    <mergeCell ref="K66:K67"/>
    <mergeCell ref="K68:K69"/>
    <mergeCell ref="K70:K71"/>
    <mergeCell ref="K72:K73"/>
    <mergeCell ref="K74:K75"/>
    <mergeCell ref="K76:K77"/>
    <mergeCell ref="K54:K55"/>
    <mergeCell ref="K56:K57"/>
    <mergeCell ref="K58:K59"/>
    <mergeCell ref="K60:K61"/>
    <mergeCell ref="K62:K63"/>
    <mergeCell ref="K64:K65"/>
    <mergeCell ref="K42:K43"/>
    <mergeCell ref="K44:K45"/>
    <mergeCell ref="K46:K47"/>
    <mergeCell ref="K48:K49"/>
    <mergeCell ref="K50:K51"/>
    <mergeCell ref="K52:K53"/>
    <mergeCell ref="K30:K31"/>
    <mergeCell ref="K32:K33"/>
    <mergeCell ref="K34:K35"/>
    <mergeCell ref="K36:K37"/>
    <mergeCell ref="K38:K39"/>
    <mergeCell ref="K40:K41"/>
    <mergeCell ref="K18:K19"/>
    <mergeCell ref="K20:K21"/>
    <mergeCell ref="K22:K23"/>
    <mergeCell ref="K24:K25"/>
    <mergeCell ref="K26:K27"/>
    <mergeCell ref="K28:K29"/>
    <mergeCell ref="K3:K7"/>
    <mergeCell ref="K8:K9"/>
    <mergeCell ref="K10:K11"/>
    <mergeCell ref="K12:K13"/>
    <mergeCell ref="K14:K15"/>
    <mergeCell ref="K16:K17"/>
    <mergeCell ref="A3:A7"/>
    <mergeCell ref="B3:B7"/>
    <mergeCell ref="C3:C7"/>
    <mergeCell ref="D3:D7"/>
    <mergeCell ref="E3:E7"/>
    <mergeCell ref="F3:F7"/>
    <mergeCell ref="I3:I7"/>
    <mergeCell ref="J3:J7"/>
    <mergeCell ref="A8:A9"/>
    <mergeCell ref="B8:B9"/>
    <mergeCell ref="C8:C9"/>
    <mergeCell ref="D8:D9"/>
    <mergeCell ref="E8:E9"/>
    <mergeCell ref="F8:F9"/>
    <mergeCell ref="I8:I9"/>
    <mergeCell ref="J8:J9"/>
    <mergeCell ref="A10:A11"/>
    <mergeCell ref="B10:B11"/>
    <mergeCell ref="C10:C11"/>
    <mergeCell ref="D10:D11"/>
    <mergeCell ref="E10:E11"/>
    <mergeCell ref="F10:F11"/>
    <mergeCell ref="I10:I11"/>
    <mergeCell ref="J10:J11"/>
    <mergeCell ref="A12:A13"/>
    <mergeCell ref="B12:B13"/>
    <mergeCell ref="C12:C13"/>
    <mergeCell ref="D12:D13"/>
    <mergeCell ref="E12:E13"/>
    <mergeCell ref="F12:F13"/>
    <mergeCell ref="I12:I13"/>
    <mergeCell ref="J12:J13"/>
    <mergeCell ref="A14:A15"/>
    <mergeCell ref="B14:B15"/>
    <mergeCell ref="C14:C15"/>
    <mergeCell ref="D14:D15"/>
    <mergeCell ref="E14:E15"/>
    <mergeCell ref="F14:F15"/>
    <mergeCell ref="I14:I15"/>
    <mergeCell ref="J14:J15"/>
    <mergeCell ref="A16:A17"/>
    <mergeCell ref="B16:B17"/>
    <mergeCell ref="C16:C17"/>
    <mergeCell ref="D16:D17"/>
    <mergeCell ref="E16:E17"/>
    <mergeCell ref="F16:F17"/>
    <mergeCell ref="I16:I17"/>
    <mergeCell ref="J16:J17"/>
    <mergeCell ref="A18:A19"/>
    <mergeCell ref="B18:B19"/>
    <mergeCell ref="C18:C19"/>
    <mergeCell ref="D18:D19"/>
    <mergeCell ref="E18:E19"/>
    <mergeCell ref="F18:F19"/>
    <mergeCell ref="I18:I19"/>
    <mergeCell ref="J18:J19"/>
    <mergeCell ref="A20:A21"/>
    <mergeCell ref="B20:B21"/>
    <mergeCell ref="C20:C21"/>
    <mergeCell ref="D20:D21"/>
    <mergeCell ref="E20:E21"/>
    <mergeCell ref="F20:F21"/>
    <mergeCell ref="I20:I21"/>
    <mergeCell ref="J20:J21"/>
    <mergeCell ref="A22:A23"/>
    <mergeCell ref="B22:B23"/>
    <mergeCell ref="C22:C23"/>
    <mergeCell ref="D22:D23"/>
    <mergeCell ref="E22:E23"/>
    <mergeCell ref="F22:F23"/>
    <mergeCell ref="I22:I23"/>
    <mergeCell ref="J22:J23"/>
    <mergeCell ref="A24:A25"/>
    <mergeCell ref="B24:B25"/>
    <mergeCell ref="C24:C25"/>
    <mergeCell ref="D24:D25"/>
    <mergeCell ref="E24:E25"/>
    <mergeCell ref="F24:F25"/>
    <mergeCell ref="I24:I25"/>
    <mergeCell ref="J24:J25"/>
    <mergeCell ref="A26:A27"/>
    <mergeCell ref="B26:B27"/>
    <mergeCell ref="C26:C27"/>
    <mergeCell ref="D26:D27"/>
    <mergeCell ref="E26:E27"/>
    <mergeCell ref="F26:F27"/>
    <mergeCell ref="I26:I27"/>
    <mergeCell ref="J26:J27"/>
    <mergeCell ref="A28:A29"/>
    <mergeCell ref="B28:B29"/>
    <mergeCell ref="C28:C29"/>
    <mergeCell ref="D28:D29"/>
    <mergeCell ref="E28:E29"/>
    <mergeCell ref="F28:F29"/>
    <mergeCell ref="I28:I29"/>
    <mergeCell ref="J28:J29"/>
    <mergeCell ref="A30:A31"/>
    <mergeCell ref="B30:B31"/>
    <mergeCell ref="C30:C31"/>
    <mergeCell ref="D30:D31"/>
    <mergeCell ref="E30:E31"/>
    <mergeCell ref="F30:F31"/>
    <mergeCell ref="I30:I31"/>
    <mergeCell ref="J30:J31"/>
    <mergeCell ref="A32:A33"/>
    <mergeCell ref="B32:B33"/>
    <mergeCell ref="C32:C33"/>
    <mergeCell ref="D32:D33"/>
    <mergeCell ref="E32:E33"/>
    <mergeCell ref="F32:F33"/>
    <mergeCell ref="I32:I33"/>
    <mergeCell ref="J32:J33"/>
    <mergeCell ref="A34:A35"/>
    <mergeCell ref="B34:B35"/>
    <mergeCell ref="C34:C35"/>
    <mergeCell ref="D34:D35"/>
    <mergeCell ref="E34:E35"/>
    <mergeCell ref="F34:F35"/>
    <mergeCell ref="I34:I35"/>
    <mergeCell ref="J34:J35"/>
    <mergeCell ref="A36:A37"/>
    <mergeCell ref="B36:B37"/>
    <mergeCell ref="C36:C37"/>
    <mergeCell ref="D36:D37"/>
    <mergeCell ref="E36:E37"/>
    <mergeCell ref="F36:F37"/>
    <mergeCell ref="I36:I37"/>
    <mergeCell ref="J36:J37"/>
    <mergeCell ref="A38:A39"/>
    <mergeCell ref="B38:B39"/>
    <mergeCell ref="C38:C39"/>
    <mergeCell ref="D38:D39"/>
    <mergeCell ref="E38:E39"/>
    <mergeCell ref="F38:F39"/>
    <mergeCell ref="I38:I39"/>
    <mergeCell ref="J38:J39"/>
    <mergeCell ref="A40:A41"/>
    <mergeCell ref="B40:B41"/>
    <mergeCell ref="C40:C41"/>
    <mergeCell ref="D40:D41"/>
    <mergeCell ref="E40:E41"/>
    <mergeCell ref="F40:F41"/>
    <mergeCell ref="I40:I41"/>
    <mergeCell ref="J40:J41"/>
    <mergeCell ref="A42:A43"/>
    <mergeCell ref="B42:B43"/>
    <mergeCell ref="C42:C43"/>
    <mergeCell ref="D42:D43"/>
    <mergeCell ref="E42:E43"/>
    <mergeCell ref="F42:F43"/>
    <mergeCell ref="I42:I43"/>
    <mergeCell ref="J42:J43"/>
    <mergeCell ref="A44:A45"/>
    <mergeCell ref="B44:B45"/>
    <mergeCell ref="C44:C45"/>
    <mergeCell ref="D44:D45"/>
    <mergeCell ref="E44:E45"/>
    <mergeCell ref="F44:F45"/>
    <mergeCell ref="I44:I45"/>
    <mergeCell ref="J44:J45"/>
    <mergeCell ref="A46:A47"/>
    <mergeCell ref="B46:B47"/>
    <mergeCell ref="C46:C47"/>
    <mergeCell ref="D46:D47"/>
    <mergeCell ref="E46:E47"/>
    <mergeCell ref="F46:F47"/>
    <mergeCell ref="I46:I47"/>
    <mergeCell ref="J46:J47"/>
    <mergeCell ref="A48:A49"/>
    <mergeCell ref="B48:B49"/>
    <mergeCell ref="C48:C49"/>
    <mergeCell ref="D48:D49"/>
    <mergeCell ref="E48:E49"/>
    <mergeCell ref="F48:F49"/>
    <mergeCell ref="I48:I49"/>
    <mergeCell ref="J48:J49"/>
    <mergeCell ref="A50:A51"/>
    <mergeCell ref="B50:B51"/>
    <mergeCell ref="C50:C51"/>
    <mergeCell ref="D50:D51"/>
    <mergeCell ref="E50:E51"/>
    <mergeCell ref="F50:F51"/>
    <mergeCell ref="I50:I51"/>
    <mergeCell ref="J50:J51"/>
    <mergeCell ref="A52:A53"/>
    <mergeCell ref="B52:B53"/>
    <mergeCell ref="C52:C53"/>
    <mergeCell ref="D52:D53"/>
    <mergeCell ref="E52:E53"/>
    <mergeCell ref="F52:F53"/>
    <mergeCell ref="I52:I53"/>
    <mergeCell ref="J52:J53"/>
    <mergeCell ref="A54:A55"/>
    <mergeCell ref="B54:B55"/>
    <mergeCell ref="C54:C55"/>
    <mergeCell ref="D54:D55"/>
    <mergeCell ref="E54:E55"/>
    <mergeCell ref="F54:F55"/>
    <mergeCell ref="I54:I55"/>
    <mergeCell ref="J54:J55"/>
    <mergeCell ref="A56:A57"/>
    <mergeCell ref="B56:B57"/>
    <mergeCell ref="C56:C57"/>
    <mergeCell ref="D56:D57"/>
    <mergeCell ref="E56:E57"/>
    <mergeCell ref="F56:F57"/>
    <mergeCell ref="I56:I57"/>
    <mergeCell ref="J56:J57"/>
    <mergeCell ref="A58:A59"/>
    <mergeCell ref="B58:B59"/>
    <mergeCell ref="C58:C59"/>
    <mergeCell ref="D58:D59"/>
    <mergeCell ref="E58:E59"/>
    <mergeCell ref="F58:F59"/>
    <mergeCell ref="I58:I59"/>
    <mergeCell ref="J58:J59"/>
    <mergeCell ref="A60:A61"/>
    <mergeCell ref="B60:B61"/>
    <mergeCell ref="C60:C61"/>
    <mergeCell ref="D60:D61"/>
    <mergeCell ref="E60:E61"/>
    <mergeCell ref="F60:F61"/>
    <mergeCell ref="I60:I61"/>
    <mergeCell ref="J60:J61"/>
    <mergeCell ref="A62:A63"/>
    <mergeCell ref="B62:B63"/>
    <mergeCell ref="C62:C63"/>
    <mergeCell ref="D62:D63"/>
    <mergeCell ref="E62:E63"/>
    <mergeCell ref="F62:F63"/>
    <mergeCell ref="I62:I63"/>
    <mergeCell ref="J62:J63"/>
    <mergeCell ref="A64:A65"/>
    <mergeCell ref="B64:B65"/>
    <mergeCell ref="C64:C65"/>
    <mergeCell ref="D64:D65"/>
    <mergeCell ref="E64:E65"/>
    <mergeCell ref="F64:F65"/>
    <mergeCell ref="I64:I65"/>
    <mergeCell ref="J64:J65"/>
    <mergeCell ref="A66:A67"/>
    <mergeCell ref="B66:B67"/>
    <mergeCell ref="C66:C67"/>
    <mergeCell ref="D66:D67"/>
    <mergeCell ref="E66:E67"/>
    <mergeCell ref="F66:F67"/>
    <mergeCell ref="I66:I67"/>
    <mergeCell ref="J66:J67"/>
    <mergeCell ref="A68:A69"/>
    <mergeCell ref="B68:B69"/>
    <mergeCell ref="C68:C69"/>
    <mergeCell ref="D68:D69"/>
    <mergeCell ref="E68:E69"/>
    <mergeCell ref="F68:F69"/>
    <mergeCell ref="I68:I69"/>
    <mergeCell ref="J68:J69"/>
    <mergeCell ref="A70:A71"/>
    <mergeCell ref="B70:B71"/>
    <mergeCell ref="C70:C71"/>
    <mergeCell ref="D70:D71"/>
    <mergeCell ref="E70:E71"/>
    <mergeCell ref="F70:F71"/>
    <mergeCell ref="I70:I71"/>
    <mergeCell ref="J70:J71"/>
    <mergeCell ref="A72:A73"/>
    <mergeCell ref="B72:B73"/>
    <mergeCell ref="C72:C73"/>
    <mergeCell ref="D72:D73"/>
    <mergeCell ref="E72:E73"/>
    <mergeCell ref="F72:F73"/>
    <mergeCell ref="I72:I73"/>
    <mergeCell ref="J72:J73"/>
    <mergeCell ref="A74:A75"/>
    <mergeCell ref="B74:B75"/>
    <mergeCell ref="C74:C75"/>
    <mergeCell ref="D74:D75"/>
    <mergeCell ref="E74:E75"/>
    <mergeCell ref="F74:F75"/>
    <mergeCell ref="I74:I75"/>
    <mergeCell ref="J74:J75"/>
    <mergeCell ref="A76:A77"/>
    <mergeCell ref="B76:B77"/>
    <mergeCell ref="C76:C77"/>
    <mergeCell ref="D76:D77"/>
    <mergeCell ref="E76:E77"/>
    <mergeCell ref="F76:F77"/>
    <mergeCell ref="I76:I77"/>
    <mergeCell ref="J76:J77"/>
    <mergeCell ref="A78:A79"/>
    <mergeCell ref="B78:B79"/>
    <mergeCell ref="C78:C79"/>
    <mergeCell ref="D78:D79"/>
    <mergeCell ref="E78:E79"/>
    <mergeCell ref="F78:F79"/>
    <mergeCell ref="I78:I79"/>
    <mergeCell ref="J78:J79"/>
    <mergeCell ref="A80:A81"/>
    <mergeCell ref="B80:B81"/>
    <mergeCell ref="C80:C81"/>
    <mergeCell ref="D80:D81"/>
    <mergeCell ref="E80:E81"/>
    <mergeCell ref="F80:F81"/>
    <mergeCell ref="I80:I81"/>
    <mergeCell ref="J80:J81"/>
    <mergeCell ref="A82:A83"/>
    <mergeCell ref="B82:B83"/>
    <mergeCell ref="C82:C83"/>
    <mergeCell ref="D82:D83"/>
    <mergeCell ref="E82:E83"/>
    <mergeCell ref="F82:F83"/>
    <mergeCell ref="I82:I83"/>
    <mergeCell ref="J82:J83"/>
    <mergeCell ref="A84:A85"/>
    <mergeCell ref="B84:B85"/>
    <mergeCell ref="C84:C85"/>
    <mergeCell ref="D84:D85"/>
    <mergeCell ref="E84:E85"/>
    <mergeCell ref="F84:F85"/>
    <mergeCell ref="I84:I85"/>
    <mergeCell ref="J84:J85"/>
    <mergeCell ref="A86:A87"/>
    <mergeCell ref="B86:B87"/>
    <mergeCell ref="C86:C87"/>
    <mergeCell ref="D86:D87"/>
    <mergeCell ref="E86:E87"/>
    <mergeCell ref="F86:F87"/>
    <mergeCell ref="I86:I87"/>
    <mergeCell ref="J86:J87"/>
    <mergeCell ref="A88:A89"/>
    <mergeCell ref="B88:B89"/>
    <mergeCell ref="C88:C89"/>
    <mergeCell ref="D88:D89"/>
    <mergeCell ref="E88:E89"/>
    <mergeCell ref="F88:F89"/>
    <mergeCell ref="I88:I89"/>
    <mergeCell ref="J88:J89"/>
    <mergeCell ref="A90:A91"/>
    <mergeCell ref="B90:B91"/>
    <mergeCell ref="C90:C91"/>
    <mergeCell ref="D90:D91"/>
    <mergeCell ref="E90:E91"/>
    <mergeCell ref="F90:F91"/>
    <mergeCell ref="I90:I91"/>
    <mergeCell ref="J90:J91"/>
    <mergeCell ref="A92:A93"/>
    <mergeCell ref="B92:B93"/>
    <mergeCell ref="C92:C93"/>
    <mergeCell ref="D92:D93"/>
    <mergeCell ref="E92:E93"/>
    <mergeCell ref="F92:F93"/>
    <mergeCell ref="I92:I93"/>
    <mergeCell ref="J92:J93"/>
    <mergeCell ref="A94:A95"/>
    <mergeCell ref="B94:B95"/>
    <mergeCell ref="C94:C95"/>
    <mergeCell ref="D94:D95"/>
    <mergeCell ref="E94:E95"/>
    <mergeCell ref="F94:F95"/>
    <mergeCell ref="I94:I95"/>
    <mergeCell ref="J94:J95"/>
    <mergeCell ref="A96:A97"/>
    <mergeCell ref="B96:B97"/>
    <mergeCell ref="C96:C97"/>
    <mergeCell ref="D96:D97"/>
    <mergeCell ref="E96:E97"/>
    <mergeCell ref="F96:F97"/>
    <mergeCell ref="I96:I97"/>
    <mergeCell ref="J96:J97"/>
    <mergeCell ref="A98:A99"/>
    <mergeCell ref="B98:B99"/>
    <mergeCell ref="C98:C99"/>
    <mergeCell ref="D98:D99"/>
    <mergeCell ref="E98:E99"/>
    <mergeCell ref="F98:F99"/>
    <mergeCell ref="I98:I99"/>
    <mergeCell ref="J98:J99"/>
    <mergeCell ref="A100:A101"/>
    <mergeCell ref="B100:B101"/>
    <mergeCell ref="C100:C101"/>
    <mergeCell ref="D100:D101"/>
    <mergeCell ref="E100:E101"/>
    <mergeCell ref="F100:F101"/>
    <mergeCell ref="I100:I101"/>
    <mergeCell ref="J100:J101"/>
    <mergeCell ref="A102:A103"/>
    <mergeCell ref="B102:B103"/>
    <mergeCell ref="C102:C103"/>
    <mergeCell ref="D102:D103"/>
    <mergeCell ref="E102:E103"/>
    <mergeCell ref="F102:F103"/>
    <mergeCell ref="I102:I103"/>
    <mergeCell ref="J102:J103"/>
    <mergeCell ref="A104:A105"/>
    <mergeCell ref="B104:B105"/>
    <mergeCell ref="C104:C105"/>
    <mergeCell ref="D104:D105"/>
    <mergeCell ref="E104:E105"/>
    <mergeCell ref="F104:F105"/>
    <mergeCell ref="I104:I105"/>
    <mergeCell ref="J104:J105"/>
    <mergeCell ref="A106:A107"/>
    <mergeCell ref="B106:B107"/>
    <mergeCell ref="C106:C107"/>
    <mergeCell ref="D106:D107"/>
    <mergeCell ref="E106:E107"/>
    <mergeCell ref="F106:F107"/>
    <mergeCell ref="I106:I107"/>
    <mergeCell ref="J106:J107"/>
    <mergeCell ref="A108:A109"/>
    <mergeCell ref="B108:B109"/>
    <mergeCell ref="C108:C109"/>
    <mergeCell ref="D108:D109"/>
    <mergeCell ref="E108:E109"/>
    <mergeCell ref="F108:F109"/>
    <mergeCell ref="I108:I109"/>
    <mergeCell ref="J108:J109"/>
    <mergeCell ref="A110:A111"/>
    <mergeCell ref="B110:B111"/>
    <mergeCell ref="C110:C111"/>
    <mergeCell ref="D110:D111"/>
    <mergeCell ref="E110:E111"/>
    <mergeCell ref="F110:F111"/>
    <mergeCell ref="I110:I111"/>
    <mergeCell ref="J110:J111"/>
    <mergeCell ref="A112:A113"/>
    <mergeCell ref="B112:B113"/>
    <mergeCell ref="C112:C113"/>
    <mergeCell ref="D112:D113"/>
    <mergeCell ref="E112:E113"/>
    <mergeCell ref="F112:F113"/>
    <mergeCell ref="I112:I113"/>
    <mergeCell ref="J112:J113"/>
    <mergeCell ref="A114:A115"/>
    <mergeCell ref="B114:B115"/>
    <mergeCell ref="C114:C115"/>
    <mergeCell ref="D114:D115"/>
    <mergeCell ref="E114:E115"/>
    <mergeCell ref="F114:F115"/>
    <mergeCell ref="I114:I115"/>
    <mergeCell ref="J114:J115"/>
    <mergeCell ref="A116:A117"/>
    <mergeCell ref="B116:B117"/>
    <mergeCell ref="C116:C117"/>
    <mergeCell ref="D116:D117"/>
    <mergeCell ref="E116:E117"/>
    <mergeCell ref="F116:F117"/>
    <mergeCell ref="I116:I117"/>
    <mergeCell ref="J116:J117"/>
    <mergeCell ref="A118:A119"/>
    <mergeCell ref="B118:B119"/>
    <mergeCell ref="C118:C119"/>
    <mergeCell ref="D118:D119"/>
    <mergeCell ref="E118:E119"/>
    <mergeCell ref="F118:F119"/>
    <mergeCell ref="I118:I119"/>
    <mergeCell ref="J118:J119"/>
    <mergeCell ref="A120:A121"/>
    <mergeCell ref="B120:B121"/>
    <mergeCell ref="C120:C121"/>
    <mergeCell ref="D120:D121"/>
    <mergeCell ref="E120:E121"/>
    <mergeCell ref="F120:F121"/>
    <mergeCell ref="I120:I121"/>
    <mergeCell ref="J120:J121"/>
    <mergeCell ref="A122:A123"/>
    <mergeCell ref="B122:B123"/>
    <mergeCell ref="C122:C123"/>
    <mergeCell ref="D122:D123"/>
    <mergeCell ref="E122:E123"/>
    <mergeCell ref="F122:F123"/>
    <mergeCell ref="I122:I123"/>
    <mergeCell ref="J122:J123"/>
    <mergeCell ref="A124:A125"/>
    <mergeCell ref="B124:B125"/>
    <mergeCell ref="C124:C125"/>
    <mergeCell ref="D124:D125"/>
    <mergeCell ref="E124:E125"/>
    <mergeCell ref="F124:F125"/>
    <mergeCell ref="I124:I125"/>
    <mergeCell ref="J124:J125"/>
    <mergeCell ref="A126:A127"/>
    <mergeCell ref="B126:B127"/>
    <mergeCell ref="C126:C127"/>
    <mergeCell ref="D126:D127"/>
    <mergeCell ref="E126:E127"/>
    <mergeCell ref="F126:F127"/>
    <mergeCell ref="I126:I127"/>
    <mergeCell ref="J126:J127"/>
    <mergeCell ref="A128:A129"/>
    <mergeCell ref="B128:B129"/>
    <mergeCell ref="C128:C129"/>
    <mergeCell ref="D128:D129"/>
    <mergeCell ref="E128:E129"/>
    <mergeCell ref="F128:F129"/>
    <mergeCell ref="I128:I129"/>
    <mergeCell ref="J128:J129"/>
    <mergeCell ref="A130:A131"/>
    <mergeCell ref="B130:B131"/>
    <mergeCell ref="C130:C131"/>
    <mergeCell ref="D130:D131"/>
    <mergeCell ref="E130:E131"/>
    <mergeCell ref="F130:F131"/>
    <mergeCell ref="I130:I131"/>
    <mergeCell ref="J130:J131"/>
    <mergeCell ref="A132:A133"/>
    <mergeCell ref="B132:B133"/>
    <mergeCell ref="C132:C133"/>
    <mergeCell ref="D132:D133"/>
    <mergeCell ref="E132:E133"/>
    <mergeCell ref="F132:F133"/>
    <mergeCell ref="I132:I133"/>
    <mergeCell ref="J132:J133"/>
    <mergeCell ref="A134:A135"/>
    <mergeCell ref="B134:B135"/>
    <mergeCell ref="C134:C135"/>
    <mergeCell ref="D134:D135"/>
    <mergeCell ref="E134:E135"/>
    <mergeCell ref="F134:F135"/>
    <mergeCell ref="I134:I135"/>
    <mergeCell ref="J134:J135"/>
    <mergeCell ref="A136:A137"/>
    <mergeCell ref="B136:B137"/>
    <mergeCell ref="C136:C137"/>
    <mergeCell ref="D136:D137"/>
    <mergeCell ref="E136:E137"/>
    <mergeCell ref="F136:F137"/>
    <mergeCell ref="I136:I137"/>
    <mergeCell ref="J136:J137"/>
    <mergeCell ref="A138:A139"/>
    <mergeCell ref="B138:B139"/>
    <mergeCell ref="C138:C139"/>
    <mergeCell ref="D138:D139"/>
    <mergeCell ref="E138:E139"/>
    <mergeCell ref="F138:F139"/>
    <mergeCell ref="I138:I139"/>
    <mergeCell ref="J138:J139"/>
    <mergeCell ref="A140:A141"/>
    <mergeCell ref="B140:B141"/>
    <mergeCell ref="C140:C141"/>
    <mergeCell ref="D140:D141"/>
    <mergeCell ref="E140:E141"/>
    <mergeCell ref="F140:F141"/>
    <mergeCell ref="I140:I141"/>
    <mergeCell ref="J140:J141"/>
    <mergeCell ref="A142:A143"/>
    <mergeCell ref="B142:B143"/>
    <mergeCell ref="C142:C143"/>
    <mergeCell ref="D142:D143"/>
    <mergeCell ref="E142:E143"/>
    <mergeCell ref="F142:F143"/>
    <mergeCell ref="I142:I143"/>
    <mergeCell ref="J142:J143"/>
    <mergeCell ref="A144:A145"/>
    <mergeCell ref="B144:B145"/>
    <mergeCell ref="C144:C145"/>
    <mergeCell ref="D144:D145"/>
    <mergeCell ref="E144:E145"/>
    <mergeCell ref="F144:F145"/>
    <mergeCell ref="I144:I145"/>
    <mergeCell ref="J144:J145"/>
    <mergeCell ref="A146:A147"/>
    <mergeCell ref="B146:B147"/>
    <mergeCell ref="C146:C147"/>
    <mergeCell ref="D146:D147"/>
    <mergeCell ref="E146:E147"/>
    <mergeCell ref="F146:F147"/>
    <mergeCell ref="I146:I147"/>
    <mergeCell ref="J146:J147"/>
    <mergeCell ref="A148:A149"/>
    <mergeCell ref="B148:B149"/>
    <mergeCell ref="C148:C149"/>
    <mergeCell ref="D148:D149"/>
    <mergeCell ref="E148:E149"/>
    <mergeCell ref="F148:F149"/>
    <mergeCell ref="I148:I149"/>
    <mergeCell ref="J148:J149"/>
    <mergeCell ref="A150:A151"/>
    <mergeCell ref="B150:B151"/>
    <mergeCell ref="C150:C151"/>
    <mergeCell ref="D150:D151"/>
    <mergeCell ref="E150:E151"/>
    <mergeCell ref="F150:F151"/>
    <mergeCell ref="I150:I151"/>
    <mergeCell ref="J150:J151"/>
    <mergeCell ref="A152:A153"/>
    <mergeCell ref="B152:B153"/>
    <mergeCell ref="C152:C153"/>
    <mergeCell ref="D152:D153"/>
    <mergeCell ref="E152:E153"/>
    <mergeCell ref="F152:F153"/>
    <mergeCell ref="I152:I153"/>
    <mergeCell ref="J152:J153"/>
    <mergeCell ref="A154:A155"/>
    <mergeCell ref="B154:B155"/>
    <mergeCell ref="C154:C155"/>
    <mergeCell ref="D154:D155"/>
    <mergeCell ref="E154:E155"/>
    <mergeCell ref="F154:F155"/>
    <mergeCell ref="I154:I155"/>
    <mergeCell ref="J154:J155"/>
    <mergeCell ref="A156:A157"/>
    <mergeCell ref="B156:B157"/>
    <mergeCell ref="C156:C157"/>
    <mergeCell ref="D156:D157"/>
    <mergeCell ref="E156:E157"/>
    <mergeCell ref="F156:F157"/>
    <mergeCell ref="I156:I157"/>
    <mergeCell ref="J156:J157"/>
    <mergeCell ref="A158:A159"/>
    <mergeCell ref="B158:B159"/>
    <mergeCell ref="C158:C159"/>
    <mergeCell ref="D158:D159"/>
    <mergeCell ref="E158:E159"/>
    <mergeCell ref="F158:F159"/>
    <mergeCell ref="I158:I159"/>
    <mergeCell ref="J158:J159"/>
    <mergeCell ref="A160:A161"/>
    <mergeCell ref="B160:B161"/>
    <mergeCell ref="C160:C161"/>
    <mergeCell ref="D160:D161"/>
    <mergeCell ref="E160:E161"/>
    <mergeCell ref="F160:F161"/>
    <mergeCell ref="I160:I161"/>
    <mergeCell ref="J160:J161"/>
    <mergeCell ref="A162:A163"/>
    <mergeCell ref="B162:B163"/>
    <mergeCell ref="C162:C163"/>
    <mergeCell ref="D162:D163"/>
    <mergeCell ref="E162:E163"/>
    <mergeCell ref="F162:F163"/>
    <mergeCell ref="I162:I163"/>
    <mergeCell ref="J162:J163"/>
    <mergeCell ref="A164:A165"/>
    <mergeCell ref="B164:B165"/>
    <mergeCell ref="C164:C165"/>
    <mergeCell ref="D164:D165"/>
    <mergeCell ref="E164:E165"/>
    <mergeCell ref="F164:F165"/>
    <mergeCell ref="I164:I165"/>
    <mergeCell ref="J164:J165"/>
    <mergeCell ref="A166:A167"/>
    <mergeCell ref="B166:B167"/>
    <mergeCell ref="C166:C167"/>
    <mergeCell ref="D166:D167"/>
    <mergeCell ref="E166:E167"/>
    <mergeCell ref="F166:F167"/>
    <mergeCell ref="I166:I167"/>
    <mergeCell ref="J166:J167"/>
    <mergeCell ref="A168:A169"/>
    <mergeCell ref="B168:B169"/>
    <mergeCell ref="C168:C169"/>
    <mergeCell ref="D168:D169"/>
    <mergeCell ref="E168:E169"/>
    <mergeCell ref="F168:F169"/>
    <mergeCell ref="I168:I169"/>
    <mergeCell ref="J168:J169"/>
    <mergeCell ref="A170:A171"/>
    <mergeCell ref="B170:B171"/>
    <mergeCell ref="C170:C171"/>
    <mergeCell ref="D170:D171"/>
    <mergeCell ref="E170:E171"/>
    <mergeCell ref="F170:F171"/>
    <mergeCell ref="I170:I171"/>
    <mergeCell ref="J170:J171"/>
    <mergeCell ref="A172:A173"/>
    <mergeCell ref="B172:B173"/>
    <mergeCell ref="C172:C173"/>
    <mergeCell ref="D172:D173"/>
    <mergeCell ref="E172:E173"/>
    <mergeCell ref="F172:F173"/>
    <mergeCell ref="I172:I173"/>
    <mergeCell ref="J172:J173"/>
    <mergeCell ref="A174:A175"/>
    <mergeCell ref="B174:B175"/>
    <mergeCell ref="C174:C175"/>
    <mergeCell ref="D174:D175"/>
    <mergeCell ref="E174:E175"/>
    <mergeCell ref="F174:F175"/>
    <mergeCell ref="I174:I175"/>
    <mergeCell ref="J174:J175"/>
    <mergeCell ref="A176:A177"/>
    <mergeCell ref="B176:B177"/>
    <mergeCell ref="C176:C177"/>
    <mergeCell ref="D176:D177"/>
    <mergeCell ref="E176:E177"/>
    <mergeCell ref="F176:F177"/>
    <mergeCell ref="I176:I177"/>
    <mergeCell ref="J176:J177"/>
    <mergeCell ref="A178:A179"/>
    <mergeCell ref="B178:B179"/>
    <mergeCell ref="C178:C179"/>
    <mergeCell ref="D178:D179"/>
    <mergeCell ref="E178:E179"/>
    <mergeCell ref="F178:F179"/>
    <mergeCell ref="I178:I179"/>
    <mergeCell ref="J178:J179"/>
    <mergeCell ref="A180:A181"/>
    <mergeCell ref="B180:B181"/>
    <mergeCell ref="C180:C181"/>
    <mergeCell ref="D180:D181"/>
    <mergeCell ref="E180:E181"/>
    <mergeCell ref="F180:F181"/>
    <mergeCell ref="I180:I181"/>
    <mergeCell ref="J180:J181"/>
    <mergeCell ref="A182:A183"/>
    <mergeCell ref="B182:B183"/>
    <mergeCell ref="C182:C183"/>
    <mergeCell ref="D182:D183"/>
    <mergeCell ref="E182:E183"/>
    <mergeCell ref="F182:F183"/>
    <mergeCell ref="I182:I183"/>
    <mergeCell ref="J182:J183"/>
    <mergeCell ref="A184:A185"/>
    <mergeCell ref="B184:B185"/>
    <mergeCell ref="C184:C185"/>
    <mergeCell ref="D184:D185"/>
    <mergeCell ref="E184:E185"/>
    <mergeCell ref="F184:F185"/>
    <mergeCell ref="I184:I185"/>
    <mergeCell ref="J184:J185"/>
    <mergeCell ref="A186:A187"/>
    <mergeCell ref="B186:B187"/>
    <mergeCell ref="C186:C187"/>
    <mergeCell ref="D186:D187"/>
    <mergeCell ref="E186:E187"/>
    <mergeCell ref="F186:F187"/>
    <mergeCell ref="I186:I187"/>
    <mergeCell ref="J186:J187"/>
    <mergeCell ref="A188:A189"/>
    <mergeCell ref="B188:B189"/>
    <mergeCell ref="C188:C189"/>
    <mergeCell ref="D188:D189"/>
    <mergeCell ref="E188:E189"/>
    <mergeCell ref="F188:F189"/>
    <mergeCell ref="I188:I189"/>
    <mergeCell ref="J188:J189"/>
    <mergeCell ref="A190:A191"/>
    <mergeCell ref="B190:B191"/>
    <mergeCell ref="C190:C191"/>
    <mergeCell ref="D190:D191"/>
    <mergeCell ref="E190:E191"/>
    <mergeCell ref="F190:F191"/>
    <mergeCell ref="I190:I191"/>
    <mergeCell ref="J190:J191"/>
    <mergeCell ref="A192:A193"/>
    <mergeCell ref="B192:B193"/>
    <mergeCell ref="C192:C193"/>
    <mergeCell ref="D192:D193"/>
    <mergeCell ref="E192:E193"/>
    <mergeCell ref="F192:F193"/>
    <mergeCell ref="I192:I193"/>
    <mergeCell ref="J192:J193"/>
    <mergeCell ref="A194:A195"/>
    <mergeCell ref="B194:B195"/>
    <mergeCell ref="C194:C195"/>
    <mergeCell ref="D194:D195"/>
    <mergeCell ref="E194:E195"/>
    <mergeCell ref="F194:F195"/>
    <mergeCell ref="I194:I195"/>
    <mergeCell ref="J194:J195"/>
    <mergeCell ref="A196:A197"/>
    <mergeCell ref="B196:B197"/>
    <mergeCell ref="C196:C197"/>
    <mergeCell ref="D196:D197"/>
    <mergeCell ref="E196:E197"/>
    <mergeCell ref="F196:F197"/>
    <mergeCell ref="I196:I197"/>
    <mergeCell ref="J196:J197"/>
    <mergeCell ref="A198:A199"/>
    <mergeCell ref="B198:B199"/>
    <mergeCell ref="C198:C199"/>
    <mergeCell ref="D198:D199"/>
    <mergeCell ref="E198:E199"/>
    <mergeCell ref="F198:F199"/>
    <mergeCell ref="I198:I199"/>
    <mergeCell ref="J198:J199"/>
    <mergeCell ref="A200:A201"/>
    <mergeCell ref="B200:B201"/>
    <mergeCell ref="C200:C201"/>
    <mergeCell ref="D200:D201"/>
    <mergeCell ref="E200:E201"/>
    <mergeCell ref="F200:F201"/>
    <mergeCell ref="I200:I201"/>
    <mergeCell ref="J200:J201"/>
    <mergeCell ref="A202:A203"/>
    <mergeCell ref="B202:B203"/>
    <mergeCell ref="C202:C203"/>
    <mergeCell ref="D202:D203"/>
    <mergeCell ref="E202:E203"/>
    <mergeCell ref="F202:F203"/>
    <mergeCell ref="I202:I203"/>
    <mergeCell ref="J202:J203"/>
    <mergeCell ref="A204:A205"/>
    <mergeCell ref="B204:B205"/>
    <mergeCell ref="C204:C205"/>
    <mergeCell ref="D204:D205"/>
    <mergeCell ref="E204:E205"/>
    <mergeCell ref="F204:F205"/>
    <mergeCell ref="I204:I205"/>
    <mergeCell ref="J204:J205"/>
    <mergeCell ref="A206:A207"/>
    <mergeCell ref="B206:B207"/>
    <mergeCell ref="C206:C207"/>
    <mergeCell ref="D206:D207"/>
    <mergeCell ref="E206:E207"/>
    <mergeCell ref="F206:F207"/>
    <mergeCell ref="I206:I207"/>
    <mergeCell ref="J206:J207"/>
    <mergeCell ref="A208:A209"/>
    <mergeCell ref="B208:B209"/>
    <mergeCell ref="C208:C209"/>
    <mergeCell ref="D208:D209"/>
    <mergeCell ref="E208:E209"/>
    <mergeCell ref="F208:F209"/>
    <mergeCell ref="I208:I209"/>
    <mergeCell ref="J208:J209"/>
    <mergeCell ref="A210:A211"/>
    <mergeCell ref="B210:B211"/>
    <mergeCell ref="C210:C211"/>
    <mergeCell ref="D210:D211"/>
    <mergeCell ref="E210:E211"/>
    <mergeCell ref="F210:F211"/>
    <mergeCell ref="I210:I211"/>
    <mergeCell ref="J210:J211"/>
    <mergeCell ref="A212:A213"/>
    <mergeCell ref="B212:B213"/>
    <mergeCell ref="C212:C213"/>
    <mergeCell ref="D212:D213"/>
    <mergeCell ref="E212:E213"/>
    <mergeCell ref="F212:F213"/>
    <mergeCell ref="I212:I213"/>
    <mergeCell ref="J212:J213"/>
    <mergeCell ref="A214:A215"/>
    <mergeCell ref="B214:B215"/>
    <mergeCell ref="C214:C215"/>
    <mergeCell ref="D214:D215"/>
    <mergeCell ref="E214:E215"/>
    <mergeCell ref="F214:F215"/>
    <mergeCell ref="I214:I215"/>
    <mergeCell ref="J214:J215"/>
    <mergeCell ref="A216:A217"/>
    <mergeCell ref="B216:B217"/>
    <mergeCell ref="C216:C217"/>
    <mergeCell ref="D216:D217"/>
    <mergeCell ref="E216:E217"/>
    <mergeCell ref="F216:F217"/>
    <mergeCell ref="I216:I217"/>
    <mergeCell ref="J216:J217"/>
    <mergeCell ref="A218:A219"/>
    <mergeCell ref="B218:B219"/>
    <mergeCell ref="C218:C219"/>
    <mergeCell ref="D218:D219"/>
    <mergeCell ref="E218:E219"/>
    <mergeCell ref="F218:F219"/>
    <mergeCell ref="I218:I219"/>
    <mergeCell ref="J218:J219"/>
    <mergeCell ref="A220:A221"/>
    <mergeCell ref="B220:B221"/>
    <mergeCell ref="C220:C221"/>
    <mergeCell ref="D220:D221"/>
    <mergeCell ref="E220:E221"/>
    <mergeCell ref="F220:F221"/>
    <mergeCell ref="I220:I221"/>
    <mergeCell ref="J220:J221"/>
    <mergeCell ref="A222:A223"/>
    <mergeCell ref="B222:B223"/>
    <mergeCell ref="C222:C223"/>
    <mergeCell ref="D222:D223"/>
    <mergeCell ref="E222:E223"/>
    <mergeCell ref="F222:F223"/>
    <mergeCell ref="I222:I223"/>
    <mergeCell ref="J222:J223"/>
    <mergeCell ref="A224:A225"/>
    <mergeCell ref="B224:B225"/>
    <mergeCell ref="C224:C225"/>
    <mergeCell ref="D224:D225"/>
    <mergeCell ref="E224:E225"/>
    <mergeCell ref="F224:F225"/>
    <mergeCell ref="I224:I225"/>
    <mergeCell ref="J224:J225"/>
    <mergeCell ref="A226:A227"/>
    <mergeCell ref="B226:B227"/>
    <mergeCell ref="C226:C227"/>
    <mergeCell ref="D226:D227"/>
    <mergeCell ref="E226:E227"/>
    <mergeCell ref="F226:F227"/>
    <mergeCell ref="I226:I227"/>
    <mergeCell ref="J226:J227"/>
    <mergeCell ref="A228:A229"/>
    <mergeCell ref="B228:B229"/>
    <mergeCell ref="C228:C229"/>
    <mergeCell ref="D228:D229"/>
    <mergeCell ref="E228:E229"/>
    <mergeCell ref="F228:F229"/>
    <mergeCell ref="I228:I229"/>
    <mergeCell ref="J228:J229"/>
    <mergeCell ref="A230:A231"/>
    <mergeCell ref="B230:B231"/>
    <mergeCell ref="C230:C231"/>
    <mergeCell ref="D230:D231"/>
    <mergeCell ref="E230:E231"/>
    <mergeCell ref="F230:F231"/>
    <mergeCell ref="I230:I231"/>
    <mergeCell ref="J230:J231"/>
    <mergeCell ref="A232:A233"/>
    <mergeCell ref="B232:B233"/>
    <mergeCell ref="C232:C233"/>
    <mergeCell ref="D232:D233"/>
    <mergeCell ref="E232:E233"/>
    <mergeCell ref="F232:F233"/>
    <mergeCell ref="I232:I233"/>
    <mergeCell ref="J232:J233"/>
    <mergeCell ref="A234:A235"/>
    <mergeCell ref="B234:B235"/>
    <mergeCell ref="C234:C235"/>
    <mergeCell ref="D234:D235"/>
    <mergeCell ref="E234:E235"/>
    <mergeCell ref="F234:F235"/>
    <mergeCell ref="I234:I235"/>
    <mergeCell ref="J234:J235"/>
    <mergeCell ref="A236:A237"/>
    <mergeCell ref="B236:B237"/>
    <mergeCell ref="C236:C237"/>
    <mergeCell ref="D236:D237"/>
    <mergeCell ref="E236:E237"/>
    <mergeCell ref="F236:F237"/>
    <mergeCell ref="I236:I237"/>
    <mergeCell ref="J236:J237"/>
    <mergeCell ref="A238:A239"/>
    <mergeCell ref="B238:B239"/>
    <mergeCell ref="C238:C239"/>
    <mergeCell ref="D238:D239"/>
    <mergeCell ref="E238:E239"/>
    <mergeCell ref="F238:F239"/>
    <mergeCell ref="I238:I239"/>
    <mergeCell ref="J238:J239"/>
    <mergeCell ref="A240:A241"/>
    <mergeCell ref="B240:B241"/>
    <mergeCell ref="C240:C241"/>
    <mergeCell ref="D240:D241"/>
    <mergeCell ref="E240:E241"/>
    <mergeCell ref="F240:F241"/>
    <mergeCell ref="I240:I241"/>
    <mergeCell ref="J240:J241"/>
    <mergeCell ref="A242:A243"/>
    <mergeCell ref="B242:B243"/>
    <mergeCell ref="C242:C243"/>
    <mergeCell ref="D242:D243"/>
    <mergeCell ref="E242:E243"/>
    <mergeCell ref="F242:F243"/>
    <mergeCell ref="I242:I243"/>
    <mergeCell ref="J242:J243"/>
    <mergeCell ref="A244:A245"/>
    <mergeCell ref="B244:B245"/>
    <mergeCell ref="C244:C245"/>
    <mergeCell ref="D244:D245"/>
    <mergeCell ref="E244:E245"/>
    <mergeCell ref="F244:F245"/>
    <mergeCell ref="I244:I245"/>
    <mergeCell ref="J244:J245"/>
    <mergeCell ref="A246:A247"/>
    <mergeCell ref="B246:B247"/>
    <mergeCell ref="C246:C247"/>
    <mergeCell ref="D246:D247"/>
    <mergeCell ref="E246:E247"/>
    <mergeCell ref="F246:F247"/>
    <mergeCell ref="I246:I247"/>
    <mergeCell ref="J246:J247"/>
    <mergeCell ref="A248:A249"/>
    <mergeCell ref="B248:B249"/>
    <mergeCell ref="C248:C249"/>
    <mergeCell ref="D248:D249"/>
    <mergeCell ref="E248:E249"/>
    <mergeCell ref="F248:F249"/>
    <mergeCell ref="I248:I249"/>
    <mergeCell ref="J248:J249"/>
    <mergeCell ref="A250:A251"/>
    <mergeCell ref="B250:B251"/>
    <mergeCell ref="C250:C251"/>
    <mergeCell ref="D250:D251"/>
    <mergeCell ref="E250:E251"/>
    <mergeCell ref="F250:F251"/>
    <mergeCell ref="I250:I251"/>
    <mergeCell ref="J250:J251"/>
    <mergeCell ref="A252:A253"/>
    <mergeCell ref="B252:B253"/>
    <mergeCell ref="C252:C253"/>
    <mergeCell ref="D252:D253"/>
    <mergeCell ref="E252:E253"/>
    <mergeCell ref="F252:F253"/>
    <mergeCell ref="I252:I253"/>
    <mergeCell ref="J252:J253"/>
    <mergeCell ref="A254:A255"/>
    <mergeCell ref="B254:B255"/>
    <mergeCell ref="C254:C255"/>
    <mergeCell ref="D254:D255"/>
    <mergeCell ref="E254:E255"/>
    <mergeCell ref="F254:F255"/>
    <mergeCell ref="I254:I255"/>
    <mergeCell ref="J254:J255"/>
    <mergeCell ref="A256:A257"/>
    <mergeCell ref="B256:B257"/>
    <mergeCell ref="C256:C257"/>
    <mergeCell ref="D256:D257"/>
    <mergeCell ref="E256:E257"/>
    <mergeCell ref="F256:F257"/>
    <mergeCell ref="I256:I257"/>
    <mergeCell ref="J256:J257"/>
    <mergeCell ref="A258:A259"/>
    <mergeCell ref="B258:B259"/>
    <mergeCell ref="C258:C259"/>
    <mergeCell ref="D258:D259"/>
    <mergeCell ref="E258:E259"/>
    <mergeCell ref="F258:F259"/>
    <mergeCell ref="I258:I259"/>
    <mergeCell ref="J258:J259"/>
    <mergeCell ref="A260:A261"/>
    <mergeCell ref="B260:B261"/>
    <mergeCell ref="C260:C261"/>
    <mergeCell ref="D260:D261"/>
    <mergeCell ref="E260:E261"/>
    <mergeCell ref="F260:F261"/>
    <mergeCell ref="I260:I261"/>
    <mergeCell ref="J260:J261"/>
    <mergeCell ref="A262:A263"/>
    <mergeCell ref="B262:B263"/>
    <mergeCell ref="C262:C263"/>
    <mergeCell ref="D262:D263"/>
    <mergeCell ref="E262:E263"/>
    <mergeCell ref="F262:F263"/>
    <mergeCell ref="I262:I263"/>
    <mergeCell ref="J262:J263"/>
    <mergeCell ref="A264:A265"/>
    <mergeCell ref="B264:B265"/>
    <mergeCell ref="C264:C265"/>
    <mergeCell ref="D264:D265"/>
    <mergeCell ref="E264:E265"/>
    <mergeCell ref="F264:F265"/>
    <mergeCell ref="I264:I265"/>
    <mergeCell ref="J264:J265"/>
    <mergeCell ref="A266:A267"/>
    <mergeCell ref="B266:B267"/>
    <mergeCell ref="C266:C267"/>
    <mergeCell ref="D266:D267"/>
    <mergeCell ref="E266:E267"/>
    <mergeCell ref="F266:F267"/>
    <mergeCell ref="I266:I267"/>
    <mergeCell ref="J266:J267"/>
    <mergeCell ref="A268:A269"/>
    <mergeCell ref="B268:B269"/>
    <mergeCell ref="C268:C269"/>
    <mergeCell ref="D268:D269"/>
    <mergeCell ref="E268:E269"/>
    <mergeCell ref="F268:F269"/>
    <mergeCell ref="I268:I269"/>
    <mergeCell ref="J268:J269"/>
    <mergeCell ref="A270:A271"/>
    <mergeCell ref="B270:B271"/>
    <mergeCell ref="C270:C271"/>
    <mergeCell ref="D270:D271"/>
    <mergeCell ref="E270:E271"/>
    <mergeCell ref="F270:F271"/>
    <mergeCell ref="I270:I271"/>
    <mergeCell ref="J270:J271"/>
    <mergeCell ref="A272:A273"/>
    <mergeCell ref="B272:B273"/>
    <mergeCell ref="C272:C273"/>
    <mergeCell ref="D272:D273"/>
    <mergeCell ref="E272:E273"/>
    <mergeCell ref="F272:F273"/>
    <mergeCell ref="I272:I273"/>
    <mergeCell ref="J272:J273"/>
    <mergeCell ref="A274:A275"/>
    <mergeCell ref="B274:B275"/>
    <mergeCell ref="C274:C275"/>
    <mergeCell ref="D274:D275"/>
    <mergeCell ref="E274:E275"/>
    <mergeCell ref="F274:F275"/>
    <mergeCell ref="I274:I275"/>
    <mergeCell ref="J274:J275"/>
    <mergeCell ref="A276:A277"/>
    <mergeCell ref="B276:B277"/>
    <mergeCell ref="C276:C277"/>
    <mergeCell ref="D276:D277"/>
    <mergeCell ref="E276:E277"/>
    <mergeCell ref="F276:F277"/>
    <mergeCell ref="I276:I277"/>
    <mergeCell ref="J276:J277"/>
    <mergeCell ref="A278:A279"/>
    <mergeCell ref="B278:B279"/>
    <mergeCell ref="C278:C279"/>
    <mergeCell ref="D278:D279"/>
    <mergeCell ref="E278:E279"/>
    <mergeCell ref="F278:F279"/>
    <mergeCell ref="I278:I279"/>
    <mergeCell ref="J278:J279"/>
    <mergeCell ref="A280:A281"/>
    <mergeCell ref="B280:B281"/>
    <mergeCell ref="C280:C281"/>
    <mergeCell ref="D280:D281"/>
    <mergeCell ref="E280:E281"/>
    <mergeCell ref="F280:F281"/>
    <mergeCell ref="I280:I281"/>
    <mergeCell ref="J280:J281"/>
    <mergeCell ref="A282:A283"/>
    <mergeCell ref="B282:B283"/>
    <mergeCell ref="C282:C283"/>
    <mergeCell ref="D282:D283"/>
    <mergeCell ref="E282:E283"/>
    <mergeCell ref="F282:F283"/>
    <mergeCell ref="I282:I283"/>
    <mergeCell ref="J282:J283"/>
    <mergeCell ref="A284:A285"/>
    <mergeCell ref="B284:B285"/>
    <mergeCell ref="C284:C285"/>
    <mergeCell ref="D284:D285"/>
    <mergeCell ref="E284:E285"/>
    <mergeCell ref="F284:F285"/>
    <mergeCell ref="I284:I285"/>
    <mergeCell ref="J284:J285"/>
    <mergeCell ref="A286:A287"/>
    <mergeCell ref="B286:B287"/>
    <mergeCell ref="C286:C287"/>
    <mergeCell ref="D286:D287"/>
    <mergeCell ref="E286:E287"/>
    <mergeCell ref="F286:F287"/>
    <mergeCell ref="I286:I287"/>
    <mergeCell ref="J286:J287"/>
    <mergeCell ref="A288:A289"/>
    <mergeCell ref="B288:B289"/>
    <mergeCell ref="C288:C289"/>
    <mergeCell ref="D288:D289"/>
    <mergeCell ref="E288:E289"/>
    <mergeCell ref="F288:F289"/>
    <mergeCell ref="I288:I289"/>
    <mergeCell ref="J288:J289"/>
    <mergeCell ref="A290:A291"/>
    <mergeCell ref="B290:B291"/>
    <mergeCell ref="C290:C291"/>
    <mergeCell ref="D290:D291"/>
    <mergeCell ref="E290:E291"/>
    <mergeCell ref="F290:F291"/>
    <mergeCell ref="I290:I291"/>
    <mergeCell ref="J290:J291"/>
    <mergeCell ref="A292:A293"/>
    <mergeCell ref="B292:B293"/>
    <mergeCell ref="C292:C293"/>
    <mergeCell ref="D292:D293"/>
    <mergeCell ref="E292:E293"/>
    <mergeCell ref="F292:F293"/>
    <mergeCell ref="I292:I293"/>
    <mergeCell ref="J292:J293"/>
    <mergeCell ref="A294:A295"/>
    <mergeCell ref="B294:B295"/>
    <mergeCell ref="C294:C295"/>
    <mergeCell ref="D294:D295"/>
    <mergeCell ref="E294:E295"/>
    <mergeCell ref="F294:F295"/>
    <mergeCell ref="I294:I295"/>
    <mergeCell ref="J294:J295"/>
    <mergeCell ref="A296:A297"/>
    <mergeCell ref="B296:B297"/>
    <mergeCell ref="C296:C297"/>
    <mergeCell ref="D296:D297"/>
    <mergeCell ref="E296:E297"/>
    <mergeCell ref="F296:F297"/>
    <mergeCell ref="I296:I297"/>
    <mergeCell ref="J296:J297"/>
    <mergeCell ref="A298:A299"/>
    <mergeCell ref="B298:B299"/>
    <mergeCell ref="C298:C299"/>
    <mergeCell ref="D298:D299"/>
    <mergeCell ref="E298:E299"/>
    <mergeCell ref="F298:F299"/>
    <mergeCell ref="I298:I299"/>
    <mergeCell ref="J298:J299"/>
    <mergeCell ref="A300:A301"/>
    <mergeCell ref="B300:B301"/>
    <mergeCell ref="C300:C301"/>
    <mergeCell ref="D300:D301"/>
    <mergeCell ref="E300:E301"/>
    <mergeCell ref="F300:F301"/>
    <mergeCell ref="I300:I301"/>
    <mergeCell ref="J300:J301"/>
    <mergeCell ref="A302:A303"/>
    <mergeCell ref="B302:B303"/>
    <mergeCell ref="C302:C303"/>
    <mergeCell ref="D302:D303"/>
    <mergeCell ref="E302:E303"/>
    <mergeCell ref="F302:F303"/>
    <mergeCell ref="I302:I303"/>
    <mergeCell ref="J302:J303"/>
    <mergeCell ref="A304:A305"/>
    <mergeCell ref="B304:B305"/>
    <mergeCell ref="C304:C305"/>
    <mergeCell ref="D304:D305"/>
    <mergeCell ref="E304:E305"/>
    <mergeCell ref="F304:F305"/>
    <mergeCell ref="I304:I305"/>
    <mergeCell ref="J304:J305"/>
    <mergeCell ref="A306:A307"/>
    <mergeCell ref="B306:B307"/>
    <mergeCell ref="C306:C307"/>
    <mergeCell ref="D306:D307"/>
    <mergeCell ref="E306:E307"/>
    <mergeCell ref="F306:F307"/>
    <mergeCell ref="I306:I307"/>
    <mergeCell ref="J306:J307"/>
    <mergeCell ref="A308:A309"/>
    <mergeCell ref="B308:B309"/>
    <mergeCell ref="C308:C309"/>
    <mergeCell ref="D308:D309"/>
    <mergeCell ref="E308:E309"/>
    <mergeCell ref="F308:F309"/>
    <mergeCell ref="I308:I309"/>
    <mergeCell ref="J308:J309"/>
    <mergeCell ref="A310:A311"/>
    <mergeCell ref="B310:B311"/>
    <mergeCell ref="C310:C311"/>
    <mergeCell ref="D310:D311"/>
    <mergeCell ref="E310:E311"/>
    <mergeCell ref="F310:F311"/>
    <mergeCell ref="I310:I311"/>
    <mergeCell ref="J310:J311"/>
    <mergeCell ref="A312:A313"/>
    <mergeCell ref="B312:B313"/>
    <mergeCell ref="C312:C313"/>
    <mergeCell ref="D312:D313"/>
    <mergeCell ref="E312:E313"/>
    <mergeCell ref="F312:F313"/>
    <mergeCell ref="I312:I313"/>
    <mergeCell ref="J312:J313"/>
    <mergeCell ref="A314:A315"/>
    <mergeCell ref="B314:B315"/>
    <mergeCell ref="C314:C315"/>
    <mergeCell ref="D314:D315"/>
    <mergeCell ref="E314:E315"/>
    <mergeCell ref="F314:F315"/>
    <mergeCell ref="I314:I315"/>
    <mergeCell ref="J314:J315"/>
    <mergeCell ref="A316:A317"/>
    <mergeCell ref="B316:B317"/>
    <mergeCell ref="C316:C317"/>
    <mergeCell ref="D316:D317"/>
    <mergeCell ref="E316:E317"/>
    <mergeCell ref="F316:F317"/>
    <mergeCell ref="I316:I317"/>
    <mergeCell ref="J316:J317"/>
    <mergeCell ref="A318:A319"/>
    <mergeCell ref="B318:B319"/>
    <mergeCell ref="C318:C319"/>
    <mergeCell ref="D318:D319"/>
    <mergeCell ref="E318:E319"/>
    <mergeCell ref="F318:F319"/>
    <mergeCell ref="I318:I319"/>
    <mergeCell ref="J318:J319"/>
    <mergeCell ref="A320:A321"/>
    <mergeCell ref="B320:B321"/>
    <mergeCell ref="C320:C321"/>
    <mergeCell ref="D320:D321"/>
    <mergeCell ref="E320:E321"/>
    <mergeCell ref="F320:F321"/>
    <mergeCell ref="I320:I321"/>
    <mergeCell ref="J320:J321"/>
    <mergeCell ref="A322:A323"/>
    <mergeCell ref="B322:B323"/>
    <mergeCell ref="C322:C323"/>
    <mergeCell ref="D322:D323"/>
    <mergeCell ref="E322:E323"/>
    <mergeCell ref="F322:F323"/>
    <mergeCell ref="I322:I323"/>
    <mergeCell ref="J322:J323"/>
    <mergeCell ref="A324:A325"/>
    <mergeCell ref="B324:B325"/>
    <mergeCell ref="C324:C325"/>
    <mergeCell ref="D324:D325"/>
    <mergeCell ref="E324:E325"/>
    <mergeCell ref="F324:F325"/>
    <mergeCell ref="I324:I325"/>
    <mergeCell ref="J324:J325"/>
    <mergeCell ref="A326:A327"/>
    <mergeCell ref="B326:B327"/>
    <mergeCell ref="C326:C327"/>
    <mergeCell ref="D326:D327"/>
    <mergeCell ref="E326:E327"/>
    <mergeCell ref="F326:F327"/>
    <mergeCell ref="I326:I327"/>
    <mergeCell ref="J326:J327"/>
    <mergeCell ref="A328:A329"/>
    <mergeCell ref="B328:B329"/>
    <mergeCell ref="C328:C329"/>
    <mergeCell ref="D328:D329"/>
    <mergeCell ref="E328:E329"/>
    <mergeCell ref="F328:F329"/>
    <mergeCell ref="I328:I329"/>
    <mergeCell ref="J328:J329"/>
    <mergeCell ref="A330:A331"/>
    <mergeCell ref="B330:B331"/>
    <mergeCell ref="C330:C331"/>
    <mergeCell ref="D330:D331"/>
    <mergeCell ref="E330:E331"/>
    <mergeCell ref="F330:F331"/>
    <mergeCell ref="I330:I331"/>
    <mergeCell ref="J330:J331"/>
    <mergeCell ref="A332:A333"/>
    <mergeCell ref="B332:B333"/>
    <mergeCell ref="C332:C333"/>
    <mergeCell ref="D332:D333"/>
    <mergeCell ref="E332:E333"/>
    <mergeCell ref="F332:F333"/>
    <mergeCell ref="I332:I333"/>
    <mergeCell ref="J332:J333"/>
    <mergeCell ref="A334:A335"/>
    <mergeCell ref="B334:B335"/>
    <mergeCell ref="C334:C335"/>
    <mergeCell ref="D334:D335"/>
    <mergeCell ref="E334:E335"/>
    <mergeCell ref="F334:F335"/>
    <mergeCell ref="I334:I335"/>
    <mergeCell ref="J334:J335"/>
    <mergeCell ref="A336:A337"/>
    <mergeCell ref="B336:B337"/>
    <mergeCell ref="C336:C337"/>
    <mergeCell ref="D336:D337"/>
    <mergeCell ref="E336:E337"/>
    <mergeCell ref="F336:F337"/>
    <mergeCell ref="I336:I337"/>
    <mergeCell ref="J336:J337"/>
    <mergeCell ref="A338:A339"/>
    <mergeCell ref="B338:B339"/>
    <mergeCell ref="C338:C339"/>
    <mergeCell ref="D338:D339"/>
    <mergeCell ref="E338:E339"/>
    <mergeCell ref="F338:F339"/>
    <mergeCell ref="I338:I339"/>
    <mergeCell ref="J338:J339"/>
    <mergeCell ref="A340:A341"/>
    <mergeCell ref="B340:B341"/>
    <mergeCell ref="C340:C341"/>
    <mergeCell ref="D340:D341"/>
    <mergeCell ref="E340:E341"/>
    <mergeCell ref="F340:F341"/>
    <mergeCell ref="I340:I341"/>
    <mergeCell ref="J340:J341"/>
    <mergeCell ref="A342:A343"/>
    <mergeCell ref="B342:B343"/>
    <mergeCell ref="C342:C343"/>
    <mergeCell ref="D342:D343"/>
    <mergeCell ref="E342:E343"/>
    <mergeCell ref="F342:F343"/>
    <mergeCell ref="I342:I343"/>
    <mergeCell ref="J342:J343"/>
    <mergeCell ref="A344:A345"/>
    <mergeCell ref="B344:B345"/>
    <mergeCell ref="C344:C345"/>
    <mergeCell ref="D344:D345"/>
    <mergeCell ref="E344:E345"/>
    <mergeCell ref="F344:F345"/>
    <mergeCell ref="I344:I345"/>
    <mergeCell ref="J344:J345"/>
    <mergeCell ref="A346:A347"/>
    <mergeCell ref="B346:B347"/>
    <mergeCell ref="C346:C347"/>
    <mergeCell ref="D346:D347"/>
    <mergeCell ref="E346:E347"/>
    <mergeCell ref="F346:F347"/>
    <mergeCell ref="I346:I347"/>
    <mergeCell ref="J346:J347"/>
    <mergeCell ref="A348:A349"/>
    <mergeCell ref="B348:B349"/>
    <mergeCell ref="C348:C349"/>
    <mergeCell ref="D348:D349"/>
    <mergeCell ref="E348:E349"/>
    <mergeCell ref="F348:F349"/>
    <mergeCell ref="I348:I349"/>
    <mergeCell ref="J348:J349"/>
    <mergeCell ref="A350:A351"/>
    <mergeCell ref="B350:B351"/>
    <mergeCell ref="C350:C351"/>
    <mergeCell ref="D350:D351"/>
    <mergeCell ref="E350:E351"/>
    <mergeCell ref="F350:F351"/>
    <mergeCell ref="I350:I351"/>
    <mergeCell ref="J350:J351"/>
    <mergeCell ref="A352:A353"/>
    <mergeCell ref="B352:B353"/>
    <mergeCell ref="C352:C353"/>
    <mergeCell ref="D352:D353"/>
    <mergeCell ref="E352:E353"/>
    <mergeCell ref="F352:F353"/>
    <mergeCell ref="I352:I353"/>
    <mergeCell ref="J352:J353"/>
    <mergeCell ref="A354:A355"/>
    <mergeCell ref="B354:B355"/>
    <mergeCell ref="C354:C355"/>
    <mergeCell ref="D354:D355"/>
    <mergeCell ref="E354:E355"/>
    <mergeCell ref="F354:F355"/>
    <mergeCell ref="I354:I355"/>
    <mergeCell ref="J354:J355"/>
    <mergeCell ref="A356:A357"/>
    <mergeCell ref="B356:B357"/>
    <mergeCell ref="C356:C357"/>
    <mergeCell ref="D356:D357"/>
    <mergeCell ref="E356:E357"/>
    <mergeCell ref="F356:F357"/>
    <mergeCell ref="I356:I357"/>
    <mergeCell ref="J356:J357"/>
    <mergeCell ref="I360:I361"/>
    <mergeCell ref="J360:J361"/>
    <mergeCell ref="I358:I359"/>
    <mergeCell ref="J358:J359"/>
    <mergeCell ref="A358:A359"/>
    <mergeCell ref="B358:B359"/>
    <mergeCell ref="C358:C359"/>
    <mergeCell ref="D358:D359"/>
    <mergeCell ref="E358:E359"/>
    <mergeCell ref="F358:F359"/>
    <mergeCell ref="A360:A361"/>
    <mergeCell ref="B360:B361"/>
    <mergeCell ref="C360:C361"/>
    <mergeCell ref="D360:D361"/>
    <mergeCell ref="E360:E361"/>
    <mergeCell ref="F360:F361"/>
    <mergeCell ref="A362:A363"/>
    <mergeCell ref="B362:B363"/>
    <mergeCell ref="C362:C363"/>
    <mergeCell ref="D362:D363"/>
    <mergeCell ref="E362:E363"/>
    <mergeCell ref="F362:F363"/>
    <mergeCell ref="I362:I363"/>
    <mergeCell ref="J362:J363"/>
    <mergeCell ref="A364:A365"/>
    <mergeCell ref="B364:B365"/>
    <mergeCell ref="C364:C365"/>
    <mergeCell ref="D364:D365"/>
    <mergeCell ref="E364:E365"/>
    <mergeCell ref="F364:F365"/>
    <mergeCell ref="I364:I365"/>
    <mergeCell ref="J364:J365"/>
    <mergeCell ref="A366:A367"/>
    <mergeCell ref="B366:B367"/>
    <mergeCell ref="C366:C367"/>
    <mergeCell ref="D366:D367"/>
    <mergeCell ref="E366:E367"/>
    <mergeCell ref="F366:F367"/>
    <mergeCell ref="I366:I367"/>
    <mergeCell ref="J366:J367"/>
    <mergeCell ref="A368:A369"/>
    <mergeCell ref="B368:B369"/>
    <mergeCell ref="C368:C369"/>
    <mergeCell ref="D368:D369"/>
    <mergeCell ref="E368:E369"/>
    <mergeCell ref="F368:F369"/>
    <mergeCell ref="I368:I369"/>
    <mergeCell ref="J368:J369"/>
    <mergeCell ref="A370:A371"/>
    <mergeCell ref="B370:B371"/>
    <mergeCell ref="C370:C371"/>
    <mergeCell ref="D370:D371"/>
    <mergeCell ref="E370:E371"/>
    <mergeCell ref="F370:F371"/>
    <mergeCell ref="I370:I371"/>
    <mergeCell ref="J370:J371"/>
    <mergeCell ref="A372:A373"/>
    <mergeCell ref="B372:B373"/>
    <mergeCell ref="C372:C373"/>
    <mergeCell ref="D372:D373"/>
    <mergeCell ref="E372:E373"/>
    <mergeCell ref="F372:F373"/>
    <mergeCell ref="I372:I373"/>
    <mergeCell ref="J372:J373"/>
    <mergeCell ref="A374:A375"/>
    <mergeCell ref="B374:B375"/>
    <mergeCell ref="C374:C375"/>
    <mergeCell ref="D374:D375"/>
    <mergeCell ref="E374:E375"/>
    <mergeCell ref="F374:F375"/>
    <mergeCell ref="I374:I375"/>
    <mergeCell ref="J374:J375"/>
    <mergeCell ref="A376:A377"/>
    <mergeCell ref="B376:B377"/>
    <mergeCell ref="C376:C377"/>
    <mergeCell ref="D376:D377"/>
    <mergeCell ref="E376:E377"/>
    <mergeCell ref="F376:F377"/>
    <mergeCell ref="I376:I377"/>
    <mergeCell ref="J376:J377"/>
    <mergeCell ref="A378:A379"/>
    <mergeCell ref="B378:B379"/>
    <mergeCell ref="C378:C379"/>
    <mergeCell ref="D378:D379"/>
    <mergeCell ref="E378:E379"/>
    <mergeCell ref="F378:F379"/>
    <mergeCell ref="I378:I379"/>
    <mergeCell ref="J378:J379"/>
    <mergeCell ref="A380:A381"/>
    <mergeCell ref="B380:B381"/>
    <mergeCell ref="C380:C381"/>
    <mergeCell ref="D380:D381"/>
    <mergeCell ref="E380:E381"/>
    <mergeCell ref="F380:F381"/>
    <mergeCell ref="I380:I381"/>
    <mergeCell ref="J380:J381"/>
    <mergeCell ref="I382:I383"/>
    <mergeCell ref="J382:J383"/>
    <mergeCell ref="A382:A383"/>
    <mergeCell ref="B382:B383"/>
    <mergeCell ref="C382:C383"/>
    <mergeCell ref="D382:D383"/>
    <mergeCell ref="E382:E383"/>
    <mergeCell ref="F382:F383"/>
    <mergeCell ref="A384:A385"/>
    <mergeCell ref="B384:B385"/>
    <mergeCell ref="C384:C385"/>
    <mergeCell ref="D384:D385"/>
    <mergeCell ref="E384:E385"/>
    <mergeCell ref="F384:F385"/>
    <mergeCell ref="I384:I385"/>
    <mergeCell ref="J384:J385"/>
    <mergeCell ref="A386:A387"/>
    <mergeCell ref="B386:B387"/>
    <mergeCell ref="C386:C387"/>
    <mergeCell ref="D386:D387"/>
    <mergeCell ref="E386:E387"/>
    <mergeCell ref="F386:F387"/>
    <mergeCell ref="I386:I387"/>
    <mergeCell ref="J386:J387"/>
    <mergeCell ref="A388:A389"/>
    <mergeCell ref="B388:B389"/>
    <mergeCell ref="C388:C389"/>
    <mergeCell ref="D388:D389"/>
    <mergeCell ref="E388:E389"/>
    <mergeCell ref="F388:F389"/>
    <mergeCell ref="I388:I389"/>
    <mergeCell ref="J388:J389"/>
    <mergeCell ref="A390:A391"/>
    <mergeCell ref="B390:B391"/>
    <mergeCell ref="C390:C391"/>
    <mergeCell ref="D390:D391"/>
    <mergeCell ref="E390:E391"/>
    <mergeCell ref="F390:F391"/>
    <mergeCell ref="I390:I391"/>
    <mergeCell ref="J390:J391"/>
    <mergeCell ref="A392:A393"/>
    <mergeCell ref="B392:B393"/>
    <mergeCell ref="C392:C393"/>
    <mergeCell ref="D392:D393"/>
    <mergeCell ref="E392:E393"/>
    <mergeCell ref="F392:F393"/>
    <mergeCell ref="I392:I393"/>
    <mergeCell ref="J392:J393"/>
    <mergeCell ref="A394:A395"/>
    <mergeCell ref="B394:B395"/>
    <mergeCell ref="C394:C395"/>
    <mergeCell ref="D394:D395"/>
    <mergeCell ref="E394:E395"/>
    <mergeCell ref="F394:F395"/>
    <mergeCell ref="I394:I395"/>
    <mergeCell ref="J394:J395"/>
    <mergeCell ref="A396:A397"/>
    <mergeCell ref="B396:B397"/>
    <mergeCell ref="C396:C397"/>
    <mergeCell ref="D396:D397"/>
    <mergeCell ref="E396:E397"/>
    <mergeCell ref="F396:F397"/>
    <mergeCell ref="I396:I397"/>
    <mergeCell ref="J396:J397"/>
    <mergeCell ref="A398:A399"/>
    <mergeCell ref="B398:B399"/>
    <mergeCell ref="C398:C399"/>
    <mergeCell ref="D398:D399"/>
    <mergeCell ref="E398:E399"/>
    <mergeCell ref="F398:F399"/>
    <mergeCell ref="I398:I399"/>
    <mergeCell ref="J398:J399"/>
    <mergeCell ref="A400:A401"/>
    <mergeCell ref="B400:B401"/>
    <mergeCell ref="C400:C401"/>
    <mergeCell ref="D400:D401"/>
    <mergeCell ref="E400:E401"/>
    <mergeCell ref="F400:F401"/>
    <mergeCell ref="I400:I401"/>
    <mergeCell ref="J400:J401"/>
    <mergeCell ref="A402:A403"/>
    <mergeCell ref="B402:B403"/>
    <mergeCell ref="C402:C403"/>
    <mergeCell ref="D402:D403"/>
    <mergeCell ref="E402:E403"/>
    <mergeCell ref="F402:F403"/>
    <mergeCell ref="I402:I403"/>
    <mergeCell ref="J402:J403"/>
    <mergeCell ref="A404:A405"/>
    <mergeCell ref="B404:B405"/>
    <mergeCell ref="C404:C405"/>
    <mergeCell ref="D404:D405"/>
    <mergeCell ref="E404:E405"/>
    <mergeCell ref="F404:F405"/>
    <mergeCell ref="I404:I405"/>
    <mergeCell ref="J404:J405"/>
    <mergeCell ref="A406:A407"/>
    <mergeCell ref="B406:B407"/>
    <mergeCell ref="C406:C407"/>
    <mergeCell ref="D406:D407"/>
    <mergeCell ref="E406:E407"/>
    <mergeCell ref="F406:F407"/>
    <mergeCell ref="I406:I407"/>
    <mergeCell ref="J406:J407"/>
    <mergeCell ref="A408:A409"/>
    <mergeCell ref="B408:B409"/>
    <mergeCell ref="C408:C409"/>
    <mergeCell ref="D408:D409"/>
    <mergeCell ref="E408:E409"/>
    <mergeCell ref="F408:F409"/>
    <mergeCell ref="I408:I409"/>
    <mergeCell ref="J408:J409"/>
    <mergeCell ref="A410:A411"/>
    <mergeCell ref="B410:B411"/>
    <mergeCell ref="C410:C411"/>
    <mergeCell ref="D410:D411"/>
    <mergeCell ref="E410:E411"/>
    <mergeCell ref="F410:F411"/>
    <mergeCell ref="I410:I411"/>
    <mergeCell ref="J410:J411"/>
    <mergeCell ref="A412:A413"/>
    <mergeCell ref="B412:B413"/>
    <mergeCell ref="C412:C413"/>
    <mergeCell ref="D412:D413"/>
    <mergeCell ref="E412:E413"/>
    <mergeCell ref="F412:F413"/>
    <mergeCell ref="I412:I413"/>
    <mergeCell ref="J412:J413"/>
    <mergeCell ref="A414:A415"/>
    <mergeCell ref="B414:B415"/>
    <mergeCell ref="C414:C415"/>
    <mergeCell ref="D414:D415"/>
    <mergeCell ref="E414:E415"/>
    <mergeCell ref="F414:F415"/>
    <mergeCell ref="I414:I415"/>
    <mergeCell ref="J414:J415"/>
    <mergeCell ref="A416:A417"/>
    <mergeCell ref="B416:B417"/>
    <mergeCell ref="C416:C417"/>
    <mergeCell ref="D416:D417"/>
    <mergeCell ref="E416:E417"/>
    <mergeCell ref="F416:F417"/>
    <mergeCell ref="I416:I417"/>
    <mergeCell ref="J416:J417"/>
    <mergeCell ref="A418:A419"/>
    <mergeCell ref="B418:B419"/>
    <mergeCell ref="C418:C419"/>
    <mergeCell ref="D418:D419"/>
    <mergeCell ref="E418:E419"/>
    <mergeCell ref="F418:F419"/>
    <mergeCell ref="I418:I419"/>
    <mergeCell ref="J418:J419"/>
    <mergeCell ref="A420:A421"/>
    <mergeCell ref="B420:B421"/>
    <mergeCell ref="C420:C421"/>
    <mergeCell ref="D420:D421"/>
    <mergeCell ref="E420:E421"/>
    <mergeCell ref="F420:F421"/>
    <mergeCell ref="I420:I421"/>
    <mergeCell ref="J420:J421"/>
    <mergeCell ref="A422:A423"/>
    <mergeCell ref="B422:B423"/>
    <mergeCell ref="C422:C423"/>
    <mergeCell ref="D422:D423"/>
    <mergeCell ref="E422:E423"/>
    <mergeCell ref="F422:F423"/>
    <mergeCell ref="I422:I423"/>
    <mergeCell ref="J422:J423"/>
    <mergeCell ref="A424:A425"/>
    <mergeCell ref="B424:B425"/>
    <mergeCell ref="C424:C425"/>
    <mergeCell ref="D424:D425"/>
    <mergeCell ref="E424:E425"/>
    <mergeCell ref="F424:F425"/>
    <mergeCell ref="I424:I425"/>
    <mergeCell ref="J424:J425"/>
    <mergeCell ref="A426:A427"/>
    <mergeCell ref="B426:B427"/>
    <mergeCell ref="C426:C427"/>
    <mergeCell ref="D426:D427"/>
    <mergeCell ref="E426:E427"/>
    <mergeCell ref="F426:F427"/>
    <mergeCell ref="I426:I427"/>
    <mergeCell ref="J426:J427"/>
    <mergeCell ref="A428:A429"/>
    <mergeCell ref="B428:B429"/>
    <mergeCell ref="C428:C429"/>
    <mergeCell ref="D428:D429"/>
    <mergeCell ref="E428:E429"/>
    <mergeCell ref="F428:F429"/>
    <mergeCell ref="I428:I429"/>
    <mergeCell ref="J428:J429"/>
    <mergeCell ref="A430:A431"/>
    <mergeCell ref="B430:B431"/>
    <mergeCell ref="C430:C431"/>
    <mergeCell ref="D430:D431"/>
    <mergeCell ref="E430:E431"/>
    <mergeCell ref="F430:F431"/>
    <mergeCell ref="I430:I431"/>
    <mergeCell ref="J430:J431"/>
    <mergeCell ref="A432:A433"/>
    <mergeCell ref="B432:B433"/>
    <mergeCell ref="C432:C433"/>
    <mergeCell ref="D432:D433"/>
    <mergeCell ref="E432:E433"/>
    <mergeCell ref="F432:F433"/>
    <mergeCell ref="I432:I433"/>
    <mergeCell ref="J432:J433"/>
    <mergeCell ref="A434:A435"/>
    <mergeCell ref="B434:B435"/>
    <mergeCell ref="C434:C435"/>
    <mergeCell ref="D434:D435"/>
    <mergeCell ref="E434:E435"/>
    <mergeCell ref="F434:F435"/>
    <mergeCell ref="I434:I435"/>
    <mergeCell ref="J434:J435"/>
    <mergeCell ref="A436:A437"/>
    <mergeCell ref="B436:B437"/>
    <mergeCell ref="C436:C437"/>
    <mergeCell ref="D436:D437"/>
    <mergeCell ref="E436:E437"/>
    <mergeCell ref="F436:F437"/>
    <mergeCell ref="F440:F441"/>
    <mergeCell ref="I436:I437"/>
    <mergeCell ref="J436:J437"/>
    <mergeCell ref="A438:A439"/>
    <mergeCell ref="B438:B439"/>
    <mergeCell ref="C438:C439"/>
    <mergeCell ref="D438:D439"/>
    <mergeCell ref="E438:E439"/>
    <mergeCell ref="F438:F439"/>
    <mergeCell ref="I438:I439"/>
    <mergeCell ref="J440:J441"/>
    <mergeCell ref="E442:E443"/>
    <mergeCell ref="F442:F443"/>
    <mergeCell ref="I442:I443"/>
    <mergeCell ref="J442:J443"/>
    <mergeCell ref="A440:A441"/>
    <mergeCell ref="B444:B445"/>
    <mergeCell ref="C444:C445"/>
    <mergeCell ref="D444:D445"/>
    <mergeCell ref="E444:E445"/>
    <mergeCell ref="F444:F445"/>
    <mergeCell ref="I440:I441"/>
    <mergeCell ref="B440:B441"/>
    <mergeCell ref="C440:C441"/>
    <mergeCell ref="D440:D441"/>
    <mergeCell ref="E440:E441"/>
    <mergeCell ref="J444:J445"/>
    <mergeCell ref="J438:J439"/>
    <mergeCell ref="L280:L281"/>
    <mergeCell ref="A1:J2"/>
    <mergeCell ref="I448:I449"/>
    <mergeCell ref="J448:J449"/>
    <mergeCell ref="A450:A451"/>
    <mergeCell ref="B450:B451"/>
    <mergeCell ref="C450:C451"/>
    <mergeCell ref="D450:D451"/>
    <mergeCell ref="A446:A447"/>
    <mergeCell ref="B446:B447"/>
    <mergeCell ref="C446:C447"/>
    <mergeCell ref="D446:D447"/>
    <mergeCell ref="E446:E447"/>
    <mergeCell ref="F446:F447"/>
    <mergeCell ref="I446:I447"/>
    <mergeCell ref="J446:J447"/>
    <mergeCell ref="A444:A445"/>
    <mergeCell ref="E450:E451"/>
    <mergeCell ref="F450:F451"/>
    <mergeCell ref="I450:I451"/>
    <mergeCell ref="A448:A449"/>
    <mergeCell ref="B448:B449"/>
    <mergeCell ref="C448:C449"/>
    <mergeCell ref="D448:D449"/>
    <mergeCell ref="E448:E449"/>
    <mergeCell ref="F448:F449"/>
    <mergeCell ref="J450:J451"/>
    <mergeCell ref="I444:I445"/>
    <mergeCell ref="A442:A443"/>
    <mergeCell ref="B442:B443"/>
    <mergeCell ref="C442:C443"/>
    <mergeCell ref="D442:D443"/>
  </mergeCells>
  <pageMargins left="0.19685039370078738" right="0.19685039370078738" top="0.39370078740157477" bottom="0.39370078740157477" header="0" footer="0"/>
  <pageSetup paperSize="9" scale="10" fitToHeight="0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outlinePr summaryBelow="0" summaryRight="0"/>
    <pageSetUpPr autoPageBreaks="0"/>
  </sheetPr>
  <dimension ref="A1:J406"/>
  <sheetViews>
    <sheetView topLeftCell="A172" workbookViewId="0">
      <selection activeCell="E205" sqref="E205"/>
    </sheetView>
  </sheetViews>
  <sheetFormatPr defaultColWidth="10.6640625" defaultRowHeight="12.75" outlineLevelRow="3" x14ac:dyDescent="0.2"/>
  <cols>
    <col min="1" max="1" width="6" style="21" customWidth="1"/>
    <col min="2" max="2" width="16.33203125" style="1" customWidth="1"/>
    <col min="3" max="3" width="91.1640625" style="1" customWidth="1"/>
    <col min="4" max="4" width="21" style="22" customWidth="1"/>
    <col min="5" max="5" width="10.5" style="22" customWidth="1"/>
    <col min="6" max="6" width="14.5" style="22" customWidth="1"/>
    <col min="7" max="8" width="13.83203125" style="2" hidden="1" customWidth="1"/>
    <col min="9" max="9" width="16.83203125" style="22" customWidth="1"/>
    <col min="10" max="10" width="17" style="1" customWidth="1"/>
    <col min="11" max="16384" width="10.6640625" style="3"/>
  </cols>
  <sheetData>
    <row r="1" spans="1:10" ht="12.75" customHeight="1" x14ac:dyDescent="0.2">
      <c r="A1" s="244" t="s">
        <v>443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0" ht="24" customHeight="1" x14ac:dyDescent="0.2">
      <c r="A2" s="244"/>
      <c r="B2" s="244"/>
      <c r="C2" s="244"/>
      <c r="D2" s="244"/>
      <c r="E2" s="244"/>
      <c r="F2" s="244"/>
      <c r="G2" s="244"/>
      <c r="H2" s="244"/>
      <c r="I2" s="244"/>
      <c r="J2" s="244"/>
    </row>
    <row r="3" spans="1:10" ht="12.75" customHeight="1" outlineLevel="1" x14ac:dyDescent="0.2">
      <c r="A3" s="280" t="s">
        <v>438</v>
      </c>
      <c r="B3" s="283" t="s">
        <v>439</v>
      </c>
      <c r="C3" s="283" t="s">
        <v>0</v>
      </c>
      <c r="D3" s="283" t="s">
        <v>440</v>
      </c>
      <c r="E3" s="283" t="s">
        <v>445</v>
      </c>
      <c r="F3" s="283" t="s">
        <v>437</v>
      </c>
      <c r="G3" s="4"/>
      <c r="H3" s="4"/>
      <c r="I3" s="283" t="s">
        <v>441</v>
      </c>
      <c r="J3" s="276" t="s">
        <v>442</v>
      </c>
    </row>
    <row r="4" spans="1:10" ht="41.25" customHeight="1" outlineLevel="1" x14ac:dyDescent="0.2">
      <c r="A4" s="282"/>
      <c r="B4" s="285"/>
      <c r="C4" s="285"/>
      <c r="D4" s="285"/>
      <c r="E4" s="285" t="s">
        <v>436</v>
      </c>
      <c r="F4" s="285"/>
      <c r="G4" s="26"/>
      <c r="H4" s="26"/>
      <c r="I4" s="285"/>
      <c r="J4" s="278"/>
    </row>
    <row r="5" spans="1:10" outlineLevel="2" x14ac:dyDescent="0.2">
      <c r="A5" s="316">
        <v>1</v>
      </c>
      <c r="B5" s="317"/>
      <c r="C5" s="312" t="s">
        <v>5</v>
      </c>
      <c r="D5" s="313" t="s">
        <v>6</v>
      </c>
      <c r="E5" s="308">
        <v>1</v>
      </c>
      <c r="F5" s="310">
        <v>17583.330000000002</v>
      </c>
      <c r="G5" s="24">
        <v>17583.330000000002</v>
      </c>
      <c r="H5" s="25">
        <v>8543200000</v>
      </c>
      <c r="I5" s="326">
        <v>8467990001</v>
      </c>
      <c r="J5" s="327"/>
    </row>
    <row r="6" spans="1:10" outlineLevel="2" x14ac:dyDescent="0.2">
      <c r="A6" s="314"/>
      <c r="B6" s="315"/>
      <c r="C6" s="303"/>
      <c r="D6" s="305"/>
      <c r="E6" s="309"/>
      <c r="F6" s="311"/>
      <c r="G6" s="9">
        <v>1</v>
      </c>
      <c r="H6" s="8"/>
      <c r="I6" s="324"/>
      <c r="J6" s="325"/>
    </row>
    <row r="7" spans="1:10" outlineLevel="2" x14ac:dyDescent="0.2">
      <c r="A7" s="314">
        <v>2</v>
      </c>
      <c r="B7" s="315"/>
      <c r="C7" s="261" t="s">
        <v>446</v>
      </c>
      <c r="D7" s="305" t="s">
        <v>22</v>
      </c>
      <c r="E7" s="309">
        <v>1</v>
      </c>
      <c r="F7" s="309">
        <v>1032697.27</v>
      </c>
      <c r="G7" s="10">
        <v>1032697.27</v>
      </c>
      <c r="H7" s="8"/>
      <c r="I7" s="260" t="s">
        <v>955</v>
      </c>
      <c r="J7" s="325"/>
    </row>
    <row r="8" spans="1:10" outlineLevel="2" x14ac:dyDescent="0.2">
      <c r="A8" s="314"/>
      <c r="B8" s="315"/>
      <c r="C8" s="261"/>
      <c r="D8" s="305"/>
      <c r="E8" s="309"/>
      <c r="F8" s="309">
        <v>1</v>
      </c>
      <c r="G8" s="9">
        <v>1</v>
      </c>
      <c r="H8" s="8"/>
      <c r="I8" s="260"/>
      <c r="J8" s="325"/>
    </row>
    <row r="9" spans="1:10" outlineLevel="2" x14ac:dyDescent="0.2">
      <c r="A9" s="314">
        <v>3</v>
      </c>
      <c r="B9" s="315"/>
      <c r="C9" s="303" t="s">
        <v>33</v>
      </c>
      <c r="D9" s="305" t="s">
        <v>34</v>
      </c>
      <c r="E9" s="309">
        <v>1</v>
      </c>
      <c r="F9" s="311">
        <v>26317.5</v>
      </c>
      <c r="G9" s="7">
        <v>26317.5</v>
      </c>
      <c r="H9" s="6"/>
      <c r="I9" s="324"/>
      <c r="J9" s="325"/>
    </row>
    <row r="10" spans="1:10" outlineLevel="2" x14ac:dyDescent="0.2">
      <c r="A10" s="314"/>
      <c r="B10" s="315"/>
      <c r="C10" s="303"/>
      <c r="D10" s="305"/>
      <c r="E10" s="309"/>
      <c r="F10" s="311">
        <v>1</v>
      </c>
      <c r="G10" s="9">
        <v>1</v>
      </c>
      <c r="H10" s="11"/>
      <c r="I10" s="324"/>
      <c r="J10" s="325"/>
    </row>
    <row r="11" spans="1:10" outlineLevel="2" x14ac:dyDescent="0.2">
      <c r="A11" s="314">
        <v>4</v>
      </c>
      <c r="B11" s="315"/>
      <c r="C11" s="303" t="s">
        <v>49</v>
      </c>
      <c r="D11" s="305" t="s">
        <v>50</v>
      </c>
      <c r="E11" s="309">
        <v>1</v>
      </c>
      <c r="F11" s="311">
        <v>169416.67</v>
      </c>
      <c r="G11" s="7">
        <v>169416.67</v>
      </c>
      <c r="H11" s="6"/>
      <c r="I11" s="324">
        <v>8543200000</v>
      </c>
      <c r="J11" s="325"/>
    </row>
    <row r="12" spans="1:10" outlineLevel="2" x14ac:dyDescent="0.2">
      <c r="A12" s="314"/>
      <c r="B12" s="315"/>
      <c r="C12" s="303"/>
      <c r="D12" s="305"/>
      <c r="E12" s="309"/>
      <c r="F12" s="311">
        <v>1</v>
      </c>
      <c r="G12" s="9">
        <v>1</v>
      </c>
      <c r="H12" s="6"/>
      <c r="I12" s="324"/>
      <c r="J12" s="325"/>
    </row>
    <row r="13" spans="1:10" outlineLevel="2" x14ac:dyDescent="0.2">
      <c r="A13" s="314">
        <v>5</v>
      </c>
      <c r="B13" s="315"/>
      <c r="C13" s="303" t="s">
        <v>61</v>
      </c>
      <c r="D13" s="305" t="s">
        <v>62</v>
      </c>
      <c r="E13" s="309">
        <v>1</v>
      </c>
      <c r="F13" s="311">
        <v>70000</v>
      </c>
      <c r="G13" s="7">
        <v>70000</v>
      </c>
      <c r="H13" s="6"/>
      <c r="I13" s="324">
        <v>9030310000</v>
      </c>
      <c r="J13" s="325"/>
    </row>
    <row r="14" spans="1:10" outlineLevel="2" x14ac:dyDescent="0.2">
      <c r="A14" s="314"/>
      <c r="B14" s="315"/>
      <c r="C14" s="303"/>
      <c r="D14" s="305"/>
      <c r="E14" s="309"/>
      <c r="F14" s="311">
        <v>1</v>
      </c>
      <c r="G14" s="9">
        <v>1</v>
      </c>
      <c r="H14" s="6"/>
      <c r="I14" s="324"/>
      <c r="J14" s="325"/>
    </row>
    <row r="15" spans="1:10" ht="12.75" customHeight="1" outlineLevel="2" x14ac:dyDescent="0.2">
      <c r="A15" s="314">
        <v>6</v>
      </c>
      <c r="B15" s="315"/>
      <c r="C15" s="303" t="s">
        <v>88</v>
      </c>
      <c r="D15" s="305" t="s">
        <v>89</v>
      </c>
      <c r="E15" s="309">
        <v>2</v>
      </c>
      <c r="F15" s="311">
        <v>27475</v>
      </c>
      <c r="G15" s="7">
        <v>27475</v>
      </c>
      <c r="H15" s="6"/>
      <c r="I15" s="324">
        <v>9403700008</v>
      </c>
      <c r="J15" s="325"/>
    </row>
    <row r="16" spans="1:10" outlineLevel="2" x14ac:dyDescent="0.2">
      <c r="A16" s="314"/>
      <c r="B16" s="315"/>
      <c r="C16" s="303"/>
      <c r="D16" s="305"/>
      <c r="E16" s="309"/>
      <c r="F16" s="311">
        <v>2</v>
      </c>
      <c r="G16" s="9">
        <v>2</v>
      </c>
      <c r="H16" s="8"/>
      <c r="I16" s="324"/>
      <c r="J16" s="325"/>
    </row>
    <row r="17" spans="1:10" outlineLevel="2" x14ac:dyDescent="0.2">
      <c r="A17" s="314">
        <v>7</v>
      </c>
      <c r="B17" s="315"/>
      <c r="C17" s="303" t="s">
        <v>126</v>
      </c>
      <c r="D17" s="305" t="s">
        <v>127</v>
      </c>
      <c r="E17" s="309">
        <f>G18</f>
        <v>1</v>
      </c>
      <c r="F17" s="311">
        <v>33301.67</v>
      </c>
      <c r="G17" s="7">
        <v>33301.67</v>
      </c>
      <c r="H17" s="8"/>
      <c r="I17" s="324">
        <v>8421392009</v>
      </c>
      <c r="J17" s="325"/>
    </row>
    <row r="18" spans="1:10" outlineLevel="2" x14ac:dyDescent="0.2">
      <c r="A18" s="314"/>
      <c r="B18" s="315"/>
      <c r="C18" s="303"/>
      <c r="D18" s="305"/>
      <c r="E18" s="309"/>
      <c r="F18" s="311">
        <v>1</v>
      </c>
      <c r="G18" s="9">
        <v>1</v>
      </c>
      <c r="H18" s="8"/>
      <c r="I18" s="324"/>
      <c r="J18" s="325"/>
    </row>
    <row r="19" spans="1:10" ht="12.75" customHeight="1" outlineLevel="2" x14ac:dyDescent="0.2">
      <c r="A19" s="314">
        <v>8</v>
      </c>
      <c r="B19" s="315"/>
      <c r="C19" s="303" t="s">
        <v>137</v>
      </c>
      <c r="D19" s="305" t="s">
        <v>138</v>
      </c>
      <c r="E19" s="309">
        <f>G20</f>
        <v>1</v>
      </c>
      <c r="F19" s="311">
        <v>17549.169999999998</v>
      </c>
      <c r="G19" s="7"/>
      <c r="H19" s="8">
        <v>17549.169999999998</v>
      </c>
      <c r="I19" s="324"/>
      <c r="J19" s="325"/>
    </row>
    <row r="20" spans="1:10" outlineLevel="2" x14ac:dyDescent="0.2">
      <c r="A20" s="314"/>
      <c r="B20" s="315"/>
      <c r="C20" s="303"/>
      <c r="D20" s="305"/>
      <c r="E20" s="309"/>
      <c r="F20" s="311">
        <v>1</v>
      </c>
      <c r="G20" s="9">
        <v>1</v>
      </c>
      <c r="H20" s="8">
        <v>1</v>
      </c>
      <c r="I20" s="324"/>
      <c r="J20" s="325"/>
    </row>
    <row r="21" spans="1:10" ht="12.75" customHeight="1" outlineLevel="2" x14ac:dyDescent="0.2">
      <c r="A21" s="314">
        <v>9</v>
      </c>
      <c r="B21" s="315"/>
      <c r="C21" s="303" t="s">
        <v>145</v>
      </c>
      <c r="D21" s="305" t="s">
        <v>146</v>
      </c>
      <c r="E21" s="309">
        <f t="shared" ref="E21:E43" si="0">G22</f>
        <v>1</v>
      </c>
      <c r="F21" s="311">
        <v>10600.83</v>
      </c>
      <c r="G21" s="7">
        <v>10600.83</v>
      </c>
      <c r="H21" s="8"/>
      <c r="I21" s="324"/>
      <c r="J21" s="325"/>
    </row>
    <row r="22" spans="1:10" outlineLevel="2" x14ac:dyDescent="0.2">
      <c r="A22" s="314"/>
      <c r="B22" s="315"/>
      <c r="C22" s="303"/>
      <c r="D22" s="305"/>
      <c r="E22" s="309"/>
      <c r="F22" s="311">
        <v>1</v>
      </c>
      <c r="G22" s="9">
        <v>1</v>
      </c>
      <c r="H22" s="8"/>
      <c r="I22" s="324"/>
      <c r="J22" s="325"/>
    </row>
    <row r="23" spans="1:10" outlineLevel="2" x14ac:dyDescent="0.2">
      <c r="A23" s="314">
        <v>10</v>
      </c>
      <c r="B23" s="315"/>
      <c r="C23" s="303" t="s">
        <v>159</v>
      </c>
      <c r="D23" s="305" t="s">
        <v>160</v>
      </c>
      <c r="E23" s="309">
        <f t="shared" si="0"/>
        <v>1</v>
      </c>
      <c r="F23" s="311">
        <v>12050.83</v>
      </c>
      <c r="G23" s="7">
        <v>12050.83</v>
      </c>
      <c r="H23" s="8"/>
      <c r="I23" s="324">
        <v>8207903000</v>
      </c>
      <c r="J23" s="325"/>
    </row>
    <row r="24" spans="1:10" outlineLevel="2" x14ac:dyDescent="0.2">
      <c r="A24" s="314"/>
      <c r="B24" s="315"/>
      <c r="C24" s="303"/>
      <c r="D24" s="305"/>
      <c r="E24" s="309"/>
      <c r="F24" s="311">
        <v>1</v>
      </c>
      <c r="G24" s="9">
        <v>1</v>
      </c>
      <c r="H24" s="8"/>
      <c r="I24" s="324"/>
      <c r="J24" s="325"/>
    </row>
    <row r="25" spans="1:10" outlineLevel="2" x14ac:dyDescent="0.2">
      <c r="A25" s="259">
        <v>11</v>
      </c>
      <c r="B25" s="265"/>
      <c r="C25" s="261" t="s">
        <v>167</v>
      </c>
      <c r="D25" s="307" t="s">
        <v>168</v>
      </c>
      <c r="E25" s="263">
        <f t="shared" si="0"/>
        <v>1</v>
      </c>
      <c r="F25" s="264">
        <v>1787996.97</v>
      </c>
      <c r="G25" s="58">
        <v>1787996.97</v>
      </c>
      <c r="H25" s="56"/>
      <c r="I25" s="260" t="s">
        <v>955</v>
      </c>
      <c r="J25" s="328"/>
    </row>
    <row r="26" spans="1:10" outlineLevel="2" x14ac:dyDescent="0.2">
      <c r="A26" s="259"/>
      <c r="B26" s="265"/>
      <c r="C26" s="261"/>
      <c r="D26" s="307"/>
      <c r="E26" s="263"/>
      <c r="F26" s="264">
        <v>1</v>
      </c>
      <c r="G26" s="57">
        <v>1</v>
      </c>
      <c r="H26" s="56"/>
      <c r="I26" s="260"/>
      <c r="J26" s="328"/>
    </row>
    <row r="27" spans="1:10" outlineLevel="2" x14ac:dyDescent="0.2">
      <c r="A27" s="259">
        <v>12</v>
      </c>
      <c r="B27" s="265"/>
      <c r="C27" s="261" t="s">
        <v>169</v>
      </c>
      <c r="D27" s="307" t="s">
        <v>170</v>
      </c>
      <c r="E27" s="263">
        <f t="shared" si="0"/>
        <v>1</v>
      </c>
      <c r="F27" s="264">
        <v>980375.56</v>
      </c>
      <c r="G27" s="58">
        <v>980375.56</v>
      </c>
      <c r="H27" s="56"/>
      <c r="I27" s="260" t="s">
        <v>955</v>
      </c>
      <c r="J27" s="328"/>
    </row>
    <row r="28" spans="1:10" outlineLevel="2" x14ac:dyDescent="0.2">
      <c r="A28" s="259"/>
      <c r="B28" s="265"/>
      <c r="C28" s="261"/>
      <c r="D28" s="307"/>
      <c r="E28" s="263"/>
      <c r="F28" s="264">
        <v>1</v>
      </c>
      <c r="G28" s="57">
        <v>1</v>
      </c>
      <c r="H28" s="56"/>
      <c r="I28" s="260"/>
      <c r="J28" s="328"/>
    </row>
    <row r="29" spans="1:10" outlineLevel="2" x14ac:dyDescent="0.2">
      <c r="A29" s="259">
        <v>13</v>
      </c>
      <c r="B29" s="265"/>
      <c r="C29" s="261" t="s">
        <v>171</v>
      </c>
      <c r="D29" s="307" t="s">
        <v>172</v>
      </c>
      <c r="E29" s="263">
        <f t="shared" si="0"/>
        <v>1</v>
      </c>
      <c r="F29" s="264">
        <v>1534585.93</v>
      </c>
      <c r="G29" s="58">
        <v>1534585.93</v>
      </c>
      <c r="H29" s="56"/>
      <c r="I29" s="260" t="s">
        <v>955</v>
      </c>
      <c r="J29" s="328"/>
    </row>
    <row r="30" spans="1:10" outlineLevel="2" x14ac:dyDescent="0.2">
      <c r="A30" s="259"/>
      <c r="B30" s="265"/>
      <c r="C30" s="261"/>
      <c r="D30" s="307"/>
      <c r="E30" s="263"/>
      <c r="F30" s="264">
        <v>1</v>
      </c>
      <c r="G30" s="57">
        <v>1</v>
      </c>
      <c r="H30" s="56"/>
      <c r="I30" s="260"/>
      <c r="J30" s="328"/>
    </row>
    <row r="31" spans="1:10" outlineLevel="2" x14ac:dyDescent="0.2">
      <c r="A31" s="259">
        <v>14</v>
      </c>
      <c r="B31" s="265"/>
      <c r="C31" s="261" t="s">
        <v>173</v>
      </c>
      <c r="D31" s="307" t="s">
        <v>174</v>
      </c>
      <c r="E31" s="263">
        <f t="shared" si="0"/>
        <v>1</v>
      </c>
      <c r="F31" s="264">
        <v>675865.53</v>
      </c>
      <c r="G31" s="58">
        <v>675865.53</v>
      </c>
      <c r="H31" s="56"/>
      <c r="I31" s="260" t="s">
        <v>955</v>
      </c>
      <c r="J31" s="328"/>
    </row>
    <row r="32" spans="1:10" outlineLevel="2" x14ac:dyDescent="0.2">
      <c r="A32" s="259"/>
      <c r="B32" s="265"/>
      <c r="C32" s="261"/>
      <c r="D32" s="307"/>
      <c r="E32" s="263"/>
      <c r="F32" s="264">
        <v>1</v>
      </c>
      <c r="G32" s="57">
        <v>1</v>
      </c>
      <c r="H32" s="56"/>
      <c r="I32" s="260"/>
      <c r="J32" s="328"/>
    </row>
    <row r="33" spans="1:10" outlineLevel="2" x14ac:dyDescent="0.2">
      <c r="A33" s="259">
        <v>15</v>
      </c>
      <c r="B33" s="265"/>
      <c r="C33" s="261" t="s">
        <v>175</v>
      </c>
      <c r="D33" s="307" t="s">
        <v>176</v>
      </c>
      <c r="E33" s="263">
        <f t="shared" si="0"/>
        <v>1</v>
      </c>
      <c r="F33" s="264">
        <v>643894.1</v>
      </c>
      <c r="G33" s="58">
        <v>643894.1</v>
      </c>
      <c r="H33" s="56"/>
      <c r="I33" s="260" t="s">
        <v>955</v>
      </c>
      <c r="J33" s="328"/>
    </row>
    <row r="34" spans="1:10" outlineLevel="2" x14ac:dyDescent="0.2">
      <c r="A34" s="259"/>
      <c r="B34" s="265"/>
      <c r="C34" s="261"/>
      <c r="D34" s="307"/>
      <c r="E34" s="263"/>
      <c r="F34" s="264">
        <v>1</v>
      </c>
      <c r="G34" s="57">
        <v>1</v>
      </c>
      <c r="H34" s="56"/>
      <c r="I34" s="260"/>
      <c r="J34" s="328"/>
    </row>
    <row r="35" spans="1:10" outlineLevel="2" x14ac:dyDescent="0.2">
      <c r="A35" s="259">
        <v>16</v>
      </c>
      <c r="B35" s="265"/>
      <c r="C35" s="261" t="s">
        <v>177</v>
      </c>
      <c r="D35" s="307" t="s">
        <v>178</v>
      </c>
      <c r="E35" s="263">
        <f t="shared" si="0"/>
        <v>1</v>
      </c>
      <c r="F35" s="264">
        <v>3154347.48</v>
      </c>
      <c r="G35" s="58">
        <v>3154347.48</v>
      </c>
      <c r="H35" s="56"/>
      <c r="I35" s="260" t="s">
        <v>955</v>
      </c>
      <c r="J35" s="328"/>
    </row>
    <row r="36" spans="1:10" outlineLevel="2" x14ac:dyDescent="0.2">
      <c r="A36" s="259"/>
      <c r="B36" s="265"/>
      <c r="C36" s="261"/>
      <c r="D36" s="307"/>
      <c r="E36" s="263"/>
      <c r="F36" s="264">
        <v>1</v>
      </c>
      <c r="G36" s="57">
        <v>1</v>
      </c>
      <c r="H36" s="56"/>
      <c r="I36" s="260"/>
      <c r="J36" s="328"/>
    </row>
    <row r="37" spans="1:10" outlineLevel="2" x14ac:dyDescent="0.2">
      <c r="A37" s="259">
        <v>17</v>
      </c>
      <c r="B37" s="265"/>
      <c r="C37" s="261" t="s">
        <v>179</v>
      </c>
      <c r="D37" s="307" t="s">
        <v>180</v>
      </c>
      <c r="E37" s="263">
        <f t="shared" si="0"/>
        <v>1</v>
      </c>
      <c r="F37" s="264">
        <v>2188942.2599999998</v>
      </c>
      <c r="G37" s="58">
        <v>2188942.2599999998</v>
      </c>
      <c r="H37" s="56"/>
      <c r="I37" s="260" t="s">
        <v>955</v>
      </c>
      <c r="J37" s="328"/>
    </row>
    <row r="38" spans="1:10" outlineLevel="2" x14ac:dyDescent="0.2">
      <c r="A38" s="259"/>
      <c r="B38" s="265"/>
      <c r="C38" s="261"/>
      <c r="D38" s="307"/>
      <c r="E38" s="263"/>
      <c r="F38" s="264">
        <v>1</v>
      </c>
      <c r="G38" s="57">
        <v>1</v>
      </c>
      <c r="H38" s="56"/>
      <c r="I38" s="260"/>
      <c r="J38" s="328"/>
    </row>
    <row r="39" spans="1:10" outlineLevel="2" x14ac:dyDescent="0.2">
      <c r="A39" s="259">
        <v>18</v>
      </c>
      <c r="B39" s="265"/>
      <c r="C39" s="261" t="s">
        <v>181</v>
      </c>
      <c r="D39" s="307" t="s">
        <v>182</v>
      </c>
      <c r="E39" s="263">
        <f t="shared" si="0"/>
        <v>1</v>
      </c>
      <c r="F39" s="264">
        <v>1142433.5900000001</v>
      </c>
      <c r="G39" s="55">
        <v>1142433.5900000001</v>
      </c>
      <c r="H39" s="56"/>
      <c r="I39" s="260" t="s">
        <v>955</v>
      </c>
      <c r="J39" s="328"/>
    </row>
    <row r="40" spans="1:10" outlineLevel="2" x14ac:dyDescent="0.2">
      <c r="A40" s="259"/>
      <c r="B40" s="265"/>
      <c r="C40" s="261"/>
      <c r="D40" s="307"/>
      <c r="E40" s="263"/>
      <c r="F40" s="264">
        <v>1</v>
      </c>
      <c r="G40" s="57">
        <v>1</v>
      </c>
      <c r="H40" s="56"/>
      <c r="I40" s="260"/>
      <c r="J40" s="328"/>
    </row>
    <row r="41" spans="1:10" outlineLevel="2" x14ac:dyDescent="0.2">
      <c r="A41" s="259">
        <v>19</v>
      </c>
      <c r="B41" s="265"/>
      <c r="C41" s="261" t="s">
        <v>183</v>
      </c>
      <c r="D41" s="307" t="s">
        <v>184</v>
      </c>
      <c r="E41" s="263">
        <f t="shared" si="0"/>
        <v>1</v>
      </c>
      <c r="F41" s="264">
        <v>1219475.47</v>
      </c>
      <c r="G41" s="58">
        <v>1219475.47</v>
      </c>
      <c r="H41" s="56"/>
      <c r="I41" s="260" t="s">
        <v>955</v>
      </c>
      <c r="J41" s="328"/>
    </row>
    <row r="42" spans="1:10" outlineLevel="2" x14ac:dyDescent="0.2">
      <c r="A42" s="259"/>
      <c r="B42" s="265"/>
      <c r="C42" s="261"/>
      <c r="D42" s="307"/>
      <c r="E42" s="263"/>
      <c r="F42" s="264">
        <v>1</v>
      </c>
      <c r="G42" s="57">
        <v>1</v>
      </c>
      <c r="H42" s="56"/>
      <c r="I42" s="260"/>
      <c r="J42" s="328"/>
    </row>
    <row r="43" spans="1:10" ht="12.75" customHeight="1" outlineLevel="2" x14ac:dyDescent="0.2">
      <c r="A43" s="314">
        <v>20</v>
      </c>
      <c r="B43" s="315"/>
      <c r="C43" s="303" t="s">
        <v>185</v>
      </c>
      <c r="D43" s="305" t="s">
        <v>186</v>
      </c>
      <c r="E43" s="309">
        <f t="shared" si="0"/>
        <v>1</v>
      </c>
      <c r="F43" s="311">
        <v>65474.17</v>
      </c>
      <c r="G43" s="10">
        <v>65474.17</v>
      </c>
      <c r="H43" s="8"/>
      <c r="I43" s="324"/>
      <c r="J43" s="325"/>
    </row>
    <row r="44" spans="1:10" outlineLevel="2" x14ac:dyDescent="0.2">
      <c r="A44" s="314"/>
      <c r="B44" s="315"/>
      <c r="C44" s="303"/>
      <c r="D44" s="305"/>
      <c r="E44" s="309"/>
      <c r="F44" s="311">
        <v>1</v>
      </c>
      <c r="G44" s="9">
        <v>1</v>
      </c>
      <c r="H44" s="8"/>
      <c r="I44" s="324"/>
      <c r="J44" s="325"/>
    </row>
    <row r="45" spans="1:10" outlineLevel="2" x14ac:dyDescent="0.2">
      <c r="A45" s="314">
        <v>21</v>
      </c>
      <c r="B45" s="315"/>
      <c r="C45" s="303" t="s">
        <v>189</v>
      </c>
      <c r="D45" s="305" t="s">
        <v>190</v>
      </c>
      <c r="E45" s="309">
        <f t="shared" ref="E45:E91" si="1">G46</f>
        <v>6</v>
      </c>
      <c r="F45" s="311">
        <v>49200</v>
      </c>
      <c r="G45" s="10">
        <v>49200</v>
      </c>
      <c r="H45" s="8"/>
      <c r="I45" s="324"/>
      <c r="J45" s="325"/>
    </row>
    <row r="46" spans="1:10" outlineLevel="2" x14ac:dyDescent="0.2">
      <c r="A46" s="314"/>
      <c r="B46" s="315"/>
      <c r="C46" s="303"/>
      <c r="D46" s="305"/>
      <c r="E46" s="309"/>
      <c r="F46" s="311">
        <v>6</v>
      </c>
      <c r="G46" s="9">
        <v>6</v>
      </c>
      <c r="H46" s="8"/>
      <c r="I46" s="324"/>
      <c r="J46" s="325"/>
    </row>
    <row r="47" spans="1:10" outlineLevel="2" x14ac:dyDescent="0.2">
      <c r="A47" s="314">
        <v>22</v>
      </c>
      <c r="B47" s="315"/>
      <c r="C47" s="303" t="s">
        <v>193</v>
      </c>
      <c r="D47" s="305" t="s">
        <v>194</v>
      </c>
      <c r="E47" s="309">
        <f t="shared" si="1"/>
        <v>2</v>
      </c>
      <c r="F47" s="311">
        <v>10939.15</v>
      </c>
      <c r="G47" s="10">
        <v>10939.15</v>
      </c>
      <c r="H47" s="8"/>
      <c r="I47" s="324"/>
      <c r="J47" s="325"/>
    </row>
    <row r="48" spans="1:10" outlineLevel="2" x14ac:dyDescent="0.2">
      <c r="A48" s="314"/>
      <c r="B48" s="315"/>
      <c r="C48" s="303"/>
      <c r="D48" s="305"/>
      <c r="E48" s="309"/>
      <c r="F48" s="311">
        <v>2</v>
      </c>
      <c r="G48" s="9">
        <v>2</v>
      </c>
      <c r="H48" s="8"/>
      <c r="I48" s="324"/>
      <c r="J48" s="325"/>
    </row>
    <row r="49" spans="1:10" outlineLevel="2" x14ac:dyDescent="0.2">
      <c r="A49" s="314">
        <v>23</v>
      </c>
      <c r="B49" s="315"/>
      <c r="C49" s="303" t="s">
        <v>197</v>
      </c>
      <c r="D49" s="305" t="s">
        <v>198</v>
      </c>
      <c r="E49" s="309">
        <f t="shared" si="1"/>
        <v>0</v>
      </c>
      <c r="F49" s="311">
        <v>461780</v>
      </c>
      <c r="G49" s="7"/>
      <c r="H49" s="8">
        <v>461780</v>
      </c>
      <c r="I49" s="324"/>
      <c r="J49" s="325"/>
    </row>
    <row r="50" spans="1:10" outlineLevel="2" x14ac:dyDescent="0.2">
      <c r="A50" s="314"/>
      <c r="B50" s="315"/>
      <c r="C50" s="303"/>
      <c r="D50" s="305"/>
      <c r="E50" s="309"/>
      <c r="F50" s="311">
        <v>1</v>
      </c>
      <c r="G50" s="9"/>
      <c r="H50" s="8">
        <v>1</v>
      </c>
      <c r="I50" s="324"/>
      <c r="J50" s="325"/>
    </row>
    <row r="51" spans="1:10" ht="12.75" customHeight="1" outlineLevel="2" x14ac:dyDescent="0.2">
      <c r="A51" s="314">
        <v>24</v>
      </c>
      <c r="B51" s="315"/>
      <c r="C51" s="303" t="s">
        <v>199</v>
      </c>
      <c r="D51" s="305" t="s">
        <v>200</v>
      </c>
      <c r="E51" s="309">
        <f t="shared" si="1"/>
        <v>1</v>
      </c>
      <c r="F51" s="311">
        <v>139775</v>
      </c>
      <c r="G51" s="7">
        <v>139775</v>
      </c>
      <c r="H51" s="8"/>
      <c r="I51" s="324">
        <v>8414807300</v>
      </c>
      <c r="J51" s="325"/>
    </row>
    <row r="52" spans="1:10" outlineLevel="2" x14ac:dyDescent="0.2">
      <c r="A52" s="314"/>
      <c r="B52" s="315"/>
      <c r="C52" s="303"/>
      <c r="D52" s="305"/>
      <c r="E52" s="309"/>
      <c r="F52" s="311">
        <v>1</v>
      </c>
      <c r="G52" s="9">
        <v>1</v>
      </c>
      <c r="H52" s="8"/>
      <c r="I52" s="324"/>
      <c r="J52" s="325"/>
    </row>
    <row r="53" spans="1:10" ht="12.75" customHeight="1" outlineLevel="2" x14ac:dyDescent="0.2">
      <c r="A53" s="314">
        <v>25</v>
      </c>
      <c r="B53" s="315"/>
      <c r="C53" s="303" t="s">
        <v>203</v>
      </c>
      <c r="D53" s="305" t="s">
        <v>204</v>
      </c>
      <c r="E53" s="309">
        <f t="shared" si="1"/>
        <v>1</v>
      </c>
      <c r="F53" s="311">
        <v>15000</v>
      </c>
      <c r="G53" s="10">
        <v>15000</v>
      </c>
      <c r="H53" s="8"/>
      <c r="I53" s="324"/>
      <c r="J53" s="325"/>
    </row>
    <row r="54" spans="1:10" outlineLevel="2" x14ac:dyDescent="0.2">
      <c r="A54" s="314"/>
      <c r="B54" s="315"/>
      <c r="C54" s="303"/>
      <c r="D54" s="305"/>
      <c r="E54" s="309"/>
      <c r="F54" s="311">
        <v>1</v>
      </c>
      <c r="G54" s="9">
        <v>1</v>
      </c>
      <c r="H54" s="8"/>
      <c r="I54" s="324"/>
      <c r="J54" s="325"/>
    </row>
    <row r="55" spans="1:10" ht="12.75" customHeight="1" outlineLevel="2" x14ac:dyDescent="0.2">
      <c r="A55" s="314">
        <v>26</v>
      </c>
      <c r="B55" s="315"/>
      <c r="C55" s="303" t="s">
        <v>203</v>
      </c>
      <c r="D55" s="305" t="s">
        <v>205</v>
      </c>
      <c r="E55" s="309">
        <f t="shared" si="1"/>
        <v>1</v>
      </c>
      <c r="F55" s="311">
        <v>16000</v>
      </c>
      <c r="G55" s="7">
        <v>16000</v>
      </c>
      <c r="H55" s="8"/>
      <c r="I55" s="324"/>
      <c r="J55" s="325"/>
    </row>
    <row r="56" spans="1:10" ht="12" customHeight="1" outlineLevel="2" x14ac:dyDescent="0.2">
      <c r="A56" s="314"/>
      <c r="B56" s="315"/>
      <c r="C56" s="303"/>
      <c r="D56" s="305"/>
      <c r="E56" s="309"/>
      <c r="F56" s="311">
        <v>1</v>
      </c>
      <c r="G56" s="9">
        <v>1</v>
      </c>
      <c r="H56" s="8"/>
      <c r="I56" s="324"/>
      <c r="J56" s="325"/>
    </row>
    <row r="57" spans="1:10" ht="12.75" customHeight="1" outlineLevel="2" x14ac:dyDescent="0.2">
      <c r="A57" s="314">
        <v>27</v>
      </c>
      <c r="B57" s="315"/>
      <c r="C57" s="303" t="s">
        <v>203</v>
      </c>
      <c r="D57" s="305" t="s">
        <v>206</v>
      </c>
      <c r="E57" s="309">
        <f t="shared" si="1"/>
        <v>1</v>
      </c>
      <c r="F57" s="311">
        <v>6800</v>
      </c>
      <c r="G57" s="10">
        <v>6800</v>
      </c>
      <c r="H57" s="8"/>
      <c r="I57" s="324"/>
      <c r="J57" s="325"/>
    </row>
    <row r="58" spans="1:10" ht="12" customHeight="1" outlineLevel="2" x14ac:dyDescent="0.2">
      <c r="A58" s="314"/>
      <c r="B58" s="315"/>
      <c r="C58" s="303"/>
      <c r="D58" s="305"/>
      <c r="E58" s="309"/>
      <c r="F58" s="311">
        <v>1</v>
      </c>
      <c r="G58" s="9">
        <v>1</v>
      </c>
      <c r="H58" s="8"/>
      <c r="I58" s="324"/>
      <c r="J58" s="325"/>
    </row>
    <row r="59" spans="1:10" ht="12.75" customHeight="1" outlineLevel="2" x14ac:dyDescent="0.2">
      <c r="A59" s="314">
        <v>28</v>
      </c>
      <c r="B59" s="315"/>
      <c r="C59" s="303" t="s">
        <v>215</v>
      </c>
      <c r="D59" s="305" t="s">
        <v>216</v>
      </c>
      <c r="E59" s="309">
        <f t="shared" si="1"/>
        <v>3</v>
      </c>
      <c r="F59" s="311">
        <v>167955</v>
      </c>
      <c r="G59" s="7">
        <v>167955</v>
      </c>
      <c r="H59" s="8"/>
      <c r="I59" s="324"/>
      <c r="J59" s="325">
        <v>8992</v>
      </c>
    </row>
    <row r="60" spans="1:10" ht="12" customHeight="1" outlineLevel="2" x14ac:dyDescent="0.2">
      <c r="A60" s="314"/>
      <c r="B60" s="315"/>
      <c r="C60" s="303"/>
      <c r="D60" s="305"/>
      <c r="E60" s="309"/>
      <c r="F60" s="311">
        <v>3</v>
      </c>
      <c r="G60" s="9">
        <v>3</v>
      </c>
      <c r="H60" s="8"/>
      <c r="I60" s="324"/>
      <c r="J60" s="325"/>
    </row>
    <row r="61" spans="1:10" ht="12.75" customHeight="1" outlineLevel="2" x14ac:dyDescent="0.2">
      <c r="A61" s="314">
        <v>29</v>
      </c>
      <c r="B61" s="315"/>
      <c r="C61" s="303" t="s">
        <v>217</v>
      </c>
      <c r="D61" s="305" t="s">
        <v>218</v>
      </c>
      <c r="E61" s="309">
        <f t="shared" si="1"/>
        <v>3</v>
      </c>
      <c r="F61" s="311">
        <v>728955</v>
      </c>
      <c r="G61" s="7">
        <v>728955</v>
      </c>
      <c r="H61" s="8"/>
      <c r="I61" s="324"/>
      <c r="J61" s="325">
        <v>697</v>
      </c>
    </row>
    <row r="62" spans="1:10" ht="12" customHeight="1" outlineLevel="2" x14ac:dyDescent="0.2">
      <c r="A62" s="314"/>
      <c r="B62" s="315"/>
      <c r="C62" s="303"/>
      <c r="D62" s="305"/>
      <c r="E62" s="309"/>
      <c r="F62" s="311">
        <v>3</v>
      </c>
      <c r="G62" s="9">
        <v>3</v>
      </c>
      <c r="H62" s="8"/>
      <c r="I62" s="324"/>
      <c r="J62" s="325"/>
    </row>
    <row r="63" spans="1:10" ht="12.75" customHeight="1" outlineLevel="2" x14ac:dyDescent="0.2">
      <c r="A63" s="314">
        <v>30</v>
      </c>
      <c r="B63" s="315"/>
      <c r="C63" s="303" t="s">
        <v>219</v>
      </c>
      <c r="D63" s="305" t="s">
        <v>220</v>
      </c>
      <c r="E63" s="309">
        <f t="shared" si="1"/>
        <v>1</v>
      </c>
      <c r="F63" s="311">
        <v>22700</v>
      </c>
      <c r="G63" s="7">
        <v>22700</v>
      </c>
      <c r="H63" s="8"/>
      <c r="I63" s="324"/>
      <c r="J63" s="325">
        <v>1318</v>
      </c>
    </row>
    <row r="64" spans="1:10" ht="12" customHeight="1" outlineLevel="2" x14ac:dyDescent="0.2">
      <c r="A64" s="314"/>
      <c r="B64" s="315"/>
      <c r="C64" s="303"/>
      <c r="D64" s="305"/>
      <c r="E64" s="309"/>
      <c r="F64" s="311">
        <v>1</v>
      </c>
      <c r="G64" s="9">
        <v>1</v>
      </c>
      <c r="H64" s="8"/>
      <c r="I64" s="324"/>
      <c r="J64" s="325"/>
    </row>
    <row r="65" spans="1:10" ht="12.75" customHeight="1" outlineLevel="2" x14ac:dyDescent="0.2">
      <c r="A65" s="314">
        <v>31</v>
      </c>
      <c r="B65" s="315"/>
      <c r="C65" s="303" t="s">
        <v>221</v>
      </c>
      <c r="D65" s="305" t="s">
        <v>222</v>
      </c>
      <c r="E65" s="309">
        <f t="shared" si="1"/>
        <v>1</v>
      </c>
      <c r="F65" s="311">
        <v>110500</v>
      </c>
      <c r="G65" s="10">
        <v>110500</v>
      </c>
      <c r="H65" s="8"/>
      <c r="I65" s="324"/>
      <c r="J65" s="325">
        <v>1307</v>
      </c>
    </row>
    <row r="66" spans="1:10" ht="12" customHeight="1" outlineLevel="2" x14ac:dyDescent="0.2">
      <c r="A66" s="314"/>
      <c r="B66" s="315"/>
      <c r="C66" s="303"/>
      <c r="D66" s="305"/>
      <c r="E66" s="309"/>
      <c r="F66" s="311">
        <v>1</v>
      </c>
      <c r="G66" s="9">
        <v>1</v>
      </c>
      <c r="H66" s="8"/>
      <c r="I66" s="324"/>
      <c r="J66" s="325"/>
    </row>
    <row r="67" spans="1:10" ht="12.75" customHeight="1" outlineLevel="2" x14ac:dyDescent="0.2">
      <c r="A67" s="314">
        <v>32</v>
      </c>
      <c r="B67" s="315"/>
      <c r="C67" s="303" t="s">
        <v>223</v>
      </c>
      <c r="D67" s="305" t="s">
        <v>224</v>
      </c>
      <c r="E67" s="309">
        <f t="shared" si="1"/>
        <v>6</v>
      </c>
      <c r="F67" s="311">
        <v>450000</v>
      </c>
      <c r="G67" s="10">
        <v>450000</v>
      </c>
      <c r="H67" s="8"/>
      <c r="I67" s="324"/>
      <c r="J67" s="325">
        <v>7806</v>
      </c>
    </row>
    <row r="68" spans="1:10" ht="12" customHeight="1" outlineLevel="2" x14ac:dyDescent="0.2">
      <c r="A68" s="314"/>
      <c r="B68" s="315"/>
      <c r="C68" s="303"/>
      <c r="D68" s="305"/>
      <c r="E68" s="309"/>
      <c r="F68" s="311">
        <v>6</v>
      </c>
      <c r="G68" s="9">
        <v>6</v>
      </c>
      <c r="H68" s="8"/>
      <c r="I68" s="324"/>
      <c r="J68" s="325"/>
    </row>
    <row r="69" spans="1:10" ht="12.75" customHeight="1" outlineLevel="2" x14ac:dyDescent="0.2">
      <c r="A69" s="314">
        <v>33</v>
      </c>
      <c r="B69" s="315"/>
      <c r="C69" s="303" t="s">
        <v>225</v>
      </c>
      <c r="D69" s="305" t="s">
        <v>226</v>
      </c>
      <c r="E69" s="309">
        <f t="shared" si="1"/>
        <v>1</v>
      </c>
      <c r="F69" s="311">
        <v>40352</v>
      </c>
      <c r="G69" s="7">
        <v>40352</v>
      </c>
      <c r="H69" s="8"/>
      <c r="I69" s="324"/>
      <c r="J69" s="325"/>
    </row>
    <row r="70" spans="1:10" ht="12" customHeight="1" outlineLevel="2" x14ac:dyDescent="0.2">
      <c r="A70" s="314"/>
      <c r="B70" s="315"/>
      <c r="C70" s="303"/>
      <c r="D70" s="305"/>
      <c r="E70" s="309"/>
      <c r="F70" s="311">
        <v>1</v>
      </c>
      <c r="G70" s="9">
        <v>1</v>
      </c>
      <c r="H70" s="8"/>
      <c r="I70" s="324"/>
      <c r="J70" s="325"/>
    </row>
    <row r="71" spans="1:10" ht="12.75" customHeight="1" outlineLevel="2" x14ac:dyDescent="0.2">
      <c r="A71" s="314">
        <v>34</v>
      </c>
      <c r="B71" s="315"/>
      <c r="C71" s="303" t="s">
        <v>227</v>
      </c>
      <c r="D71" s="305" t="s">
        <v>228</v>
      </c>
      <c r="E71" s="309">
        <f t="shared" si="1"/>
        <v>1</v>
      </c>
      <c r="F71" s="311">
        <v>65200</v>
      </c>
      <c r="G71" s="7">
        <v>65200</v>
      </c>
      <c r="H71" s="8"/>
      <c r="I71" s="324"/>
      <c r="J71" s="325">
        <v>1688</v>
      </c>
    </row>
    <row r="72" spans="1:10" ht="12" customHeight="1" outlineLevel="2" x14ac:dyDescent="0.2">
      <c r="A72" s="314"/>
      <c r="B72" s="315"/>
      <c r="C72" s="303"/>
      <c r="D72" s="305"/>
      <c r="E72" s="309"/>
      <c r="F72" s="311">
        <v>1</v>
      </c>
      <c r="G72" s="9">
        <v>1</v>
      </c>
      <c r="H72" s="8"/>
      <c r="I72" s="324"/>
      <c r="J72" s="325"/>
    </row>
    <row r="73" spans="1:10" ht="12.75" customHeight="1" outlineLevel="2" x14ac:dyDescent="0.2">
      <c r="A73" s="314">
        <v>35</v>
      </c>
      <c r="B73" s="315"/>
      <c r="C73" s="303" t="s">
        <v>229</v>
      </c>
      <c r="D73" s="305" t="s">
        <v>230</v>
      </c>
      <c r="E73" s="309">
        <f t="shared" si="1"/>
        <v>1</v>
      </c>
      <c r="F73" s="311">
        <v>65200</v>
      </c>
      <c r="G73" s="10">
        <v>65200</v>
      </c>
      <c r="H73" s="8"/>
      <c r="I73" s="324"/>
      <c r="J73" s="325">
        <v>1690</v>
      </c>
    </row>
    <row r="74" spans="1:10" ht="12" customHeight="1" outlineLevel="2" x14ac:dyDescent="0.2">
      <c r="A74" s="314"/>
      <c r="B74" s="315"/>
      <c r="C74" s="303"/>
      <c r="D74" s="305"/>
      <c r="E74" s="309"/>
      <c r="F74" s="311">
        <v>1</v>
      </c>
      <c r="G74" s="9">
        <v>1</v>
      </c>
      <c r="H74" s="8"/>
      <c r="I74" s="324"/>
      <c r="J74" s="325"/>
    </row>
    <row r="75" spans="1:10" ht="12.75" customHeight="1" outlineLevel="2" x14ac:dyDescent="0.2">
      <c r="A75" s="314">
        <v>36</v>
      </c>
      <c r="B75" s="315"/>
      <c r="C75" s="303" t="s">
        <v>231</v>
      </c>
      <c r="D75" s="305" t="s">
        <v>232</v>
      </c>
      <c r="E75" s="309">
        <f t="shared" si="1"/>
        <v>1</v>
      </c>
      <c r="F75" s="311">
        <v>9100</v>
      </c>
      <c r="G75" s="7">
        <v>9100</v>
      </c>
      <c r="H75" s="8"/>
      <c r="I75" s="324"/>
      <c r="J75" s="325">
        <v>7406</v>
      </c>
    </row>
    <row r="76" spans="1:10" ht="12" customHeight="1" outlineLevel="2" x14ac:dyDescent="0.2">
      <c r="A76" s="314"/>
      <c r="B76" s="315"/>
      <c r="C76" s="303"/>
      <c r="D76" s="305"/>
      <c r="E76" s="309"/>
      <c r="F76" s="311">
        <v>1</v>
      </c>
      <c r="G76" s="9">
        <v>1</v>
      </c>
      <c r="H76" s="8"/>
      <c r="I76" s="324"/>
      <c r="J76" s="325"/>
    </row>
    <row r="77" spans="1:10" ht="12.75" customHeight="1" outlineLevel="2" x14ac:dyDescent="0.2">
      <c r="A77" s="314">
        <v>37</v>
      </c>
      <c r="B77" s="315"/>
      <c r="C77" s="303" t="s">
        <v>233</v>
      </c>
      <c r="D77" s="305" t="s">
        <v>234</v>
      </c>
      <c r="E77" s="309">
        <f t="shared" si="1"/>
        <v>1</v>
      </c>
      <c r="F77" s="311">
        <v>10700</v>
      </c>
      <c r="G77" s="7">
        <v>10700</v>
      </c>
      <c r="H77" s="8"/>
      <c r="I77" s="324"/>
      <c r="J77" s="325">
        <v>5641</v>
      </c>
    </row>
    <row r="78" spans="1:10" ht="12" customHeight="1" outlineLevel="2" x14ac:dyDescent="0.2">
      <c r="A78" s="314"/>
      <c r="B78" s="315"/>
      <c r="C78" s="303"/>
      <c r="D78" s="305"/>
      <c r="E78" s="309"/>
      <c r="F78" s="311">
        <v>1</v>
      </c>
      <c r="G78" s="9">
        <v>1</v>
      </c>
      <c r="H78" s="8"/>
      <c r="I78" s="324"/>
      <c r="J78" s="325"/>
    </row>
    <row r="79" spans="1:10" ht="12.75" customHeight="1" outlineLevel="2" x14ac:dyDescent="0.2">
      <c r="A79" s="314">
        <v>38</v>
      </c>
      <c r="B79" s="315"/>
      <c r="C79" s="303" t="s">
        <v>235</v>
      </c>
      <c r="D79" s="305" t="s">
        <v>236</v>
      </c>
      <c r="E79" s="309">
        <f t="shared" si="1"/>
        <v>1</v>
      </c>
      <c r="F79" s="311">
        <v>10700</v>
      </c>
      <c r="G79" s="10">
        <v>10700</v>
      </c>
      <c r="H79" s="8"/>
      <c r="I79" s="324"/>
      <c r="J79" s="325">
        <v>8311</v>
      </c>
    </row>
    <row r="80" spans="1:10" ht="12" customHeight="1" outlineLevel="2" x14ac:dyDescent="0.2">
      <c r="A80" s="314"/>
      <c r="B80" s="315"/>
      <c r="C80" s="303"/>
      <c r="D80" s="305"/>
      <c r="E80" s="309"/>
      <c r="F80" s="311">
        <v>1</v>
      </c>
      <c r="G80" s="9">
        <v>1</v>
      </c>
      <c r="H80" s="8"/>
      <c r="I80" s="324"/>
      <c r="J80" s="325"/>
    </row>
    <row r="81" spans="1:10" ht="12.75" customHeight="1" outlineLevel="2" x14ac:dyDescent="0.2">
      <c r="A81" s="314">
        <v>39</v>
      </c>
      <c r="B81" s="315"/>
      <c r="C81" s="303" t="s">
        <v>237</v>
      </c>
      <c r="D81" s="305" t="s">
        <v>238</v>
      </c>
      <c r="E81" s="309">
        <f t="shared" si="1"/>
        <v>1</v>
      </c>
      <c r="F81" s="311">
        <v>7500</v>
      </c>
      <c r="G81" s="7">
        <v>7500</v>
      </c>
      <c r="H81" s="8"/>
      <c r="I81" s="324"/>
      <c r="J81" s="325">
        <v>7317</v>
      </c>
    </row>
    <row r="82" spans="1:10" ht="12" customHeight="1" outlineLevel="2" x14ac:dyDescent="0.2">
      <c r="A82" s="314"/>
      <c r="B82" s="315"/>
      <c r="C82" s="303"/>
      <c r="D82" s="305"/>
      <c r="E82" s="309"/>
      <c r="F82" s="311">
        <v>1</v>
      </c>
      <c r="G82" s="9">
        <v>1</v>
      </c>
      <c r="H82" s="8"/>
      <c r="I82" s="324"/>
      <c r="J82" s="325"/>
    </row>
    <row r="83" spans="1:10" ht="12.75" customHeight="1" outlineLevel="2" x14ac:dyDescent="0.2">
      <c r="A83" s="314">
        <v>40</v>
      </c>
      <c r="B83" s="315"/>
      <c r="C83" s="303" t="s">
        <v>239</v>
      </c>
      <c r="D83" s="305" t="s">
        <v>240</v>
      </c>
      <c r="E83" s="309">
        <f t="shared" si="1"/>
        <v>1</v>
      </c>
      <c r="F83" s="311">
        <v>60700</v>
      </c>
      <c r="G83" s="7">
        <v>60700</v>
      </c>
      <c r="H83" s="8"/>
      <c r="I83" s="324"/>
      <c r="J83" s="325">
        <v>5640</v>
      </c>
    </row>
    <row r="84" spans="1:10" ht="12" customHeight="1" outlineLevel="2" x14ac:dyDescent="0.2">
      <c r="A84" s="314"/>
      <c r="B84" s="315"/>
      <c r="C84" s="303"/>
      <c r="D84" s="305"/>
      <c r="E84" s="309"/>
      <c r="F84" s="311">
        <v>1</v>
      </c>
      <c r="G84" s="9">
        <v>1</v>
      </c>
      <c r="H84" s="8"/>
      <c r="I84" s="324"/>
      <c r="J84" s="325"/>
    </row>
    <row r="85" spans="1:10" ht="12.75" customHeight="1" outlineLevel="2" x14ac:dyDescent="0.2">
      <c r="A85" s="314">
        <v>41</v>
      </c>
      <c r="B85" s="315"/>
      <c r="C85" s="303" t="s">
        <v>241</v>
      </c>
      <c r="D85" s="305" t="s">
        <v>242</v>
      </c>
      <c r="E85" s="309">
        <f t="shared" si="1"/>
        <v>2</v>
      </c>
      <c r="F85" s="311">
        <v>91600</v>
      </c>
      <c r="G85" s="7">
        <v>91600</v>
      </c>
      <c r="H85" s="8"/>
      <c r="I85" s="324"/>
      <c r="J85" s="325"/>
    </row>
    <row r="86" spans="1:10" ht="12" customHeight="1" outlineLevel="2" x14ac:dyDescent="0.2">
      <c r="A86" s="314"/>
      <c r="B86" s="315"/>
      <c r="C86" s="303"/>
      <c r="D86" s="305"/>
      <c r="E86" s="309"/>
      <c r="F86" s="311">
        <v>2</v>
      </c>
      <c r="G86" s="9">
        <v>2</v>
      </c>
      <c r="H86" s="8"/>
      <c r="I86" s="324"/>
      <c r="J86" s="325"/>
    </row>
    <row r="87" spans="1:10" ht="12.75" customHeight="1" outlineLevel="2" x14ac:dyDescent="0.2">
      <c r="A87" s="314">
        <v>42</v>
      </c>
      <c r="B87" s="315"/>
      <c r="C87" s="303" t="s">
        <v>243</v>
      </c>
      <c r="D87" s="305" t="s">
        <v>244</v>
      </c>
      <c r="E87" s="309">
        <f t="shared" si="1"/>
        <v>2</v>
      </c>
      <c r="F87" s="311">
        <v>121200</v>
      </c>
      <c r="G87" s="7">
        <v>121200</v>
      </c>
      <c r="H87" s="8"/>
      <c r="I87" s="324"/>
      <c r="J87" s="325"/>
    </row>
    <row r="88" spans="1:10" outlineLevel="2" x14ac:dyDescent="0.2">
      <c r="A88" s="314"/>
      <c r="B88" s="315"/>
      <c r="C88" s="303"/>
      <c r="D88" s="305"/>
      <c r="E88" s="309"/>
      <c r="F88" s="311">
        <v>2</v>
      </c>
      <c r="G88" s="9">
        <v>2</v>
      </c>
      <c r="H88" s="8"/>
      <c r="I88" s="324"/>
      <c r="J88" s="325"/>
    </row>
    <row r="89" spans="1:10" ht="12.75" customHeight="1" outlineLevel="2" x14ac:dyDescent="0.2">
      <c r="A89" s="314">
        <v>43</v>
      </c>
      <c r="B89" s="315"/>
      <c r="C89" s="303" t="s">
        <v>245</v>
      </c>
      <c r="D89" s="305" t="s">
        <v>246</v>
      </c>
      <c r="E89" s="309">
        <f t="shared" si="1"/>
        <v>2</v>
      </c>
      <c r="F89" s="311">
        <v>121200</v>
      </c>
      <c r="G89" s="7">
        <v>121200</v>
      </c>
      <c r="H89" s="8"/>
      <c r="I89" s="324"/>
      <c r="J89" s="325"/>
    </row>
    <row r="90" spans="1:10" outlineLevel="2" x14ac:dyDescent="0.2">
      <c r="A90" s="314"/>
      <c r="B90" s="315"/>
      <c r="C90" s="303"/>
      <c r="D90" s="305"/>
      <c r="E90" s="309"/>
      <c r="F90" s="311">
        <v>2</v>
      </c>
      <c r="G90" s="9">
        <v>2</v>
      </c>
      <c r="H90" s="8"/>
      <c r="I90" s="324"/>
      <c r="J90" s="325"/>
    </row>
    <row r="91" spans="1:10" ht="12.75" customHeight="1" outlineLevel="2" x14ac:dyDescent="0.2">
      <c r="A91" s="314">
        <v>44</v>
      </c>
      <c r="B91" s="315"/>
      <c r="C91" s="303" t="s">
        <v>247</v>
      </c>
      <c r="D91" s="305" t="s">
        <v>248</v>
      </c>
      <c r="E91" s="309">
        <f t="shared" si="1"/>
        <v>1</v>
      </c>
      <c r="F91" s="311">
        <v>97700</v>
      </c>
      <c r="G91" s="7">
        <v>97700</v>
      </c>
      <c r="H91" s="8"/>
      <c r="I91" s="324"/>
      <c r="J91" s="325">
        <v>1308</v>
      </c>
    </row>
    <row r="92" spans="1:10" outlineLevel="2" x14ac:dyDescent="0.2">
      <c r="A92" s="314"/>
      <c r="B92" s="315"/>
      <c r="C92" s="303"/>
      <c r="D92" s="305"/>
      <c r="E92" s="309"/>
      <c r="F92" s="311">
        <v>1</v>
      </c>
      <c r="G92" s="9">
        <v>1</v>
      </c>
      <c r="H92" s="8"/>
      <c r="I92" s="324"/>
      <c r="J92" s="325"/>
    </row>
    <row r="93" spans="1:10" ht="12.75" customHeight="1" outlineLevel="2" x14ac:dyDescent="0.2">
      <c r="A93" s="314">
        <v>45</v>
      </c>
      <c r="B93" s="315"/>
      <c r="C93" s="303" t="s">
        <v>249</v>
      </c>
      <c r="D93" s="305" t="s">
        <v>250</v>
      </c>
      <c r="E93" s="309">
        <f>G94</f>
        <v>1</v>
      </c>
      <c r="F93" s="311">
        <v>53544</v>
      </c>
      <c r="G93" s="7">
        <v>53544</v>
      </c>
      <c r="H93" s="8"/>
      <c r="I93" s="324"/>
      <c r="J93" s="325">
        <v>7315</v>
      </c>
    </row>
    <row r="94" spans="1:10" outlineLevel="2" x14ac:dyDescent="0.2">
      <c r="A94" s="314"/>
      <c r="B94" s="315"/>
      <c r="C94" s="303"/>
      <c r="D94" s="305"/>
      <c r="E94" s="309"/>
      <c r="F94" s="311">
        <v>1</v>
      </c>
      <c r="G94" s="9">
        <v>1</v>
      </c>
      <c r="H94" s="8"/>
      <c r="I94" s="324"/>
      <c r="J94" s="325"/>
    </row>
    <row r="95" spans="1:10" ht="12.75" customHeight="1" outlineLevel="2" x14ac:dyDescent="0.2">
      <c r="A95" s="314">
        <v>46</v>
      </c>
      <c r="B95" s="315"/>
      <c r="C95" s="303" t="s">
        <v>251</v>
      </c>
      <c r="D95" s="305" t="s">
        <v>252</v>
      </c>
      <c r="E95" s="309">
        <f>G96</f>
        <v>1</v>
      </c>
      <c r="F95" s="311">
        <v>53544</v>
      </c>
      <c r="G95" s="10">
        <v>53544</v>
      </c>
      <c r="H95" s="8"/>
      <c r="I95" s="324"/>
      <c r="J95" s="325">
        <v>7316</v>
      </c>
    </row>
    <row r="96" spans="1:10" outlineLevel="2" x14ac:dyDescent="0.2">
      <c r="A96" s="314"/>
      <c r="B96" s="315"/>
      <c r="C96" s="303"/>
      <c r="D96" s="305"/>
      <c r="E96" s="309"/>
      <c r="F96" s="311">
        <v>1</v>
      </c>
      <c r="G96" s="9">
        <v>1</v>
      </c>
      <c r="H96" s="8"/>
      <c r="I96" s="324"/>
      <c r="J96" s="325"/>
    </row>
    <row r="97" spans="1:10" ht="12.75" customHeight="1" outlineLevel="2" x14ac:dyDescent="0.2">
      <c r="A97" s="314">
        <v>47</v>
      </c>
      <c r="B97" s="315"/>
      <c r="C97" s="303" t="s">
        <v>253</v>
      </c>
      <c r="D97" s="305" t="s">
        <v>254</v>
      </c>
      <c r="E97" s="309">
        <f>G98</f>
        <v>1</v>
      </c>
      <c r="F97" s="311">
        <v>31719</v>
      </c>
      <c r="G97" s="10">
        <v>31719</v>
      </c>
      <c r="H97" s="8"/>
      <c r="I97" s="324"/>
      <c r="J97" s="325"/>
    </row>
    <row r="98" spans="1:10" outlineLevel="2" x14ac:dyDescent="0.2">
      <c r="A98" s="314"/>
      <c r="B98" s="315"/>
      <c r="C98" s="303"/>
      <c r="D98" s="305"/>
      <c r="E98" s="309"/>
      <c r="F98" s="311">
        <v>1</v>
      </c>
      <c r="G98" s="9">
        <v>1</v>
      </c>
      <c r="H98" s="8"/>
      <c r="I98" s="324"/>
      <c r="J98" s="325"/>
    </row>
    <row r="99" spans="1:10" outlineLevel="2" x14ac:dyDescent="0.2">
      <c r="A99" s="259">
        <v>48</v>
      </c>
      <c r="B99" s="265"/>
      <c r="C99" s="261" t="s">
        <v>255</v>
      </c>
      <c r="D99" s="307" t="s">
        <v>256</v>
      </c>
      <c r="E99" s="263">
        <f>G100</f>
        <v>1</v>
      </c>
      <c r="F99" s="264">
        <v>4714876.32</v>
      </c>
      <c r="G99" s="55">
        <v>4714876.32</v>
      </c>
      <c r="H99" s="56"/>
      <c r="I99" s="260"/>
      <c r="J99" s="328"/>
    </row>
    <row r="100" spans="1:10" outlineLevel="2" x14ac:dyDescent="0.2">
      <c r="A100" s="259"/>
      <c r="B100" s="265"/>
      <c r="C100" s="261"/>
      <c r="D100" s="307"/>
      <c r="E100" s="263"/>
      <c r="F100" s="264">
        <v>1</v>
      </c>
      <c r="G100" s="57">
        <v>1</v>
      </c>
      <c r="H100" s="56"/>
      <c r="I100" s="260"/>
      <c r="J100" s="328"/>
    </row>
    <row r="101" spans="1:10" outlineLevel="2" x14ac:dyDescent="0.2">
      <c r="A101" s="259">
        <v>49</v>
      </c>
      <c r="B101" s="265"/>
      <c r="C101" s="261" t="s">
        <v>257</v>
      </c>
      <c r="D101" s="307" t="s">
        <v>258</v>
      </c>
      <c r="E101" s="263">
        <f>G102</f>
        <v>1</v>
      </c>
      <c r="F101" s="264">
        <v>420785.22</v>
      </c>
      <c r="G101" s="55">
        <v>420785.22</v>
      </c>
      <c r="H101" s="56"/>
      <c r="I101" s="260"/>
      <c r="J101" s="328"/>
    </row>
    <row r="102" spans="1:10" outlineLevel="2" x14ac:dyDescent="0.2">
      <c r="A102" s="259"/>
      <c r="B102" s="265"/>
      <c r="C102" s="261"/>
      <c r="D102" s="307"/>
      <c r="E102" s="263"/>
      <c r="F102" s="264">
        <v>1</v>
      </c>
      <c r="G102" s="57">
        <v>1</v>
      </c>
      <c r="H102" s="56"/>
      <c r="I102" s="260"/>
      <c r="J102" s="328"/>
    </row>
    <row r="103" spans="1:10" outlineLevel="2" x14ac:dyDescent="0.2">
      <c r="A103" s="259">
        <v>50</v>
      </c>
      <c r="B103" s="265"/>
      <c r="C103" s="261" t="s">
        <v>259</v>
      </c>
      <c r="D103" s="307" t="s">
        <v>260</v>
      </c>
      <c r="E103" s="263">
        <f>G104</f>
        <v>1</v>
      </c>
      <c r="F103" s="264">
        <v>359011.37</v>
      </c>
      <c r="G103" s="55">
        <v>359011.37</v>
      </c>
      <c r="H103" s="56"/>
      <c r="I103" s="260"/>
      <c r="J103" s="328"/>
    </row>
    <row r="104" spans="1:10" outlineLevel="2" x14ac:dyDescent="0.2">
      <c r="A104" s="259"/>
      <c r="B104" s="265"/>
      <c r="C104" s="261"/>
      <c r="D104" s="307"/>
      <c r="E104" s="263"/>
      <c r="F104" s="264">
        <v>1</v>
      </c>
      <c r="G104" s="57">
        <v>1</v>
      </c>
      <c r="H104" s="56"/>
      <c r="I104" s="260"/>
      <c r="J104" s="328"/>
    </row>
    <row r="105" spans="1:10" outlineLevel="2" x14ac:dyDescent="0.2">
      <c r="A105" s="259">
        <v>51</v>
      </c>
      <c r="B105" s="265"/>
      <c r="C105" s="261" t="s">
        <v>261</v>
      </c>
      <c r="D105" s="307" t="s">
        <v>262</v>
      </c>
      <c r="E105" s="263">
        <f>G106</f>
        <v>1</v>
      </c>
      <c r="F105" s="264">
        <v>490916.09</v>
      </c>
      <c r="G105" s="55">
        <v>490916.09</v>
      </c>
      <c r="H105" s="56"/>
      <c r="I105" s="260"/>
      <c r="J105" s="328"/>
    </row>
    <row r="106" spans="1:10" outlineLevel="2" x14ac:dyDescent="0.2">
      <c r="A106" s="259"/>
      <c r="B106" s="265"/>
      <c r="C106" s="261"/>
      <c r="D106" s="307"/>
      <c r="E106" s="263"/>
      <c r="F106" s="264">
        <v>1</v>
      </c>
      <c r="G106" s="57">
        <v>1</v>
      </c>
      <c r="H106" s="56"/>
      <c r="I106" s="260"/>
      <c r="J106" s="328"/>
    </row>
    <row r="107" spans="1:10" outlineLevel="2" x14ac:dyDescent="0.2">
      <c r="A107" s="259">
        <v>52</v>
      </c>
      <c r="B107" s="265"/>
      <c r="C107" s="261" t="s">
        <v>263</v>
      </c>
      <c r="D107" s="307" t="s">
        <v>264</v>
      </c>
      <c r="E107" s="263">
        <f>G108</f>
        <v>1</v>
      </c>
      <c r="F107" s="264">
        <v>3347424.29</v>
      </c>
      <c r="G107" s="55">
        <v>3347424.29</v>
      </c>
      <c r="H107" s="56"/>
      <c r="I107" s="260" t="s">
        <v>955</v>
      </c>
      <c r="J107" s="328"/>
    </row>
    <row r="108" spans="1:10" outlineLevel="2" x14ac:dyDescent="0.2">
      <c r="A108" s="259"/>
      <c r="B108" s="265"/>
      <c r="C108" s="261"/>
      <c r="D108" s="307"/>
      <c r="E108" s="263"/>
      <c r="F108" s="264">
        <v>1</v>
      </c>
      <c r="G108" s="57">
        <v>1</v>
      </c>
      <c r="H108" s="56"/>
      <c r="I108" s="260"/>
      <c r="J108" s="328"/>
    </row>
    <row r="109" spans="1:10" outlineLevel="2" x14ac:dyDescent="0.2">
      <c r="A109" s="259">
        <v>53</v>
      </c>
      <c r="B109" s="265"/>
      <c r="C109" s="261" t="s">
        <v>265</v>
      </c>
      <c r="D109" s="307" t="s">
        <v>266</v>
      </c>
      <c r="E109" s="263">
        <f>G110</f>
        <v>1</v>
      </c>
      <c r="F109" s="264">
        <v>2718823.72</v>
      </c>
      <c r="G109" s="55">
        <v>2718823.72</v>
      </c>
      <c r="H109" s="56"/>
      <c r="I109" s="260" t="s">
        <v>955</v>
      </c>
      <c r="J109" s="328"/>
    </row>
    <row r="110" spans="1:10" outlineLevel="2" x14ac:dyDescent="0.2">
      <c r="A110" s="259"/>
      <c r="B110" s="265"/>
      <c r="C110" s="261"/>
      <c r="D110" s="307"/>
      <c r="E110" s="263"/>
      <c r="F110" s="264">
        <v>1</v>
      </c>
      <c r="G110" s="57">
        <v>1</v>
      </c>
      <c r="H110" s="56"/>
      <c r="I110" s="260"/>
      <c r="J110" s="328"/>
    </row>
    <row r="111" spans="1:10" outlineLevel="2" x14ac:dyDescent="0.2">
      <c r="A111" s="259">
        <v>54</v>
      </c>
      <c r="B111" s="265"/>
      <c r="C111" s="261" t="s">
        <v>267</v>
      </c>
      <c r="D111" s="307" t="s">
        <v>268</v>
      </c>
      <c r="E111" s="263">
        <f>G112</f>
        <v>1</v>
      </c>
      <c r="F111" s="264">
        <v>3423658.12</v>
      </c>
      <c r="G111" s="55">
        <v>3423658.12</v>
      </c>
      <c r="H111" s="56"/>
      <c r="I111" s="260" t="s">
        <v>955</v>
      </c>
      <c r="J111" s="328"/>
    </row>
    <row r="112" spans="1:10" outlineLevel="2" x14ac:dyDescent="0.2">
      <c r="A112" s="259"/>
      <c r="B112" s="265"/>
      <c r="C112" s="261"/>
      <c r="D112" s="307"/>
      <c r="E112" s="263"/>
      <c r="F112" s="264">
        <v>1</v>
      </c>
      <c r="G112" s="57">
        <v>1</v>
      </c>
      <c r="H112" s="56"/>
      <c r="I112" s="260"/>
      <c r="J112" s="328"/>
    </row>
    <row r="113" spans="1:10" outlineLevel="2" x14ac:dyDescent="0.2">
      <c r="A113" s="314">
        <v>55</v>
      </c>
      <c r="B113" s="315"/>
      <c r="C113" s="303" t="s">
        <v>279</v>
      </c>
      <c r="D113" s="305" t="s">
        <v>280</v>
      </c>
      <c r="E113" s="309">
        <f>G114</f>
        <v>2</v>
      </c>
      <c r="F113" s="311">
        <v>25377.919999999998</v>
      </c>
      <c r="G113" s="10">
        <v>25377.919999999998</v>
      </c>
      <c r="H113" s="8"/>
      <c r="I113" s="324"/>
      <c r="J113" s="325"/>
    </row>
    <row r="114" spans="1:10" outlineLevel="2" x14ac:dyDescent="0.2">
      <c r="A114" s="314"/>
      <c r="B114" s="315"/>
      <c r="C114" s="303"/>
      <c r="D114" s="305"/>
      <c r="E114" s="309"/>
      <c r="F114" s="311">
        <v>2</v>
      </c>
      <c r="G114" s="9">
        <v>2</v>
      </c>
      <c r="H114" s="8"/>
      <c r="I114" s="324"/>
      <c r="J114" s="325"/>
    </row>
    <row r="115" spans="1:10" outlineLevel="2" x14ac:dyDescent="0.2">
      <c r="A115" s="314">
        <v>56</v>
      </c>
      <c r="B115" s="315"/>
      <c r="C115" s="303" t="s">
        <v>281</v>
      </c>
      <c r="D115" s="305" t="s">
        <v>282</v>
      </c>
      <c r="E115" s="309">
        <f>G116</f>
        <v>2</v>
      </c>
      <c r="F115" s="311">
        <v>14381.33</v>
      </c>
      <c r="G115" s="10">
        <v>14381.33</v>
      </c>
      <c r="H115" s="8"/>
      <c r="I115" s="324"/>
      <c r="J115" s="325"/>
    </row>
    <row r="116" spans="1:10" outlineLevel="2" x14ac:dyDescent="0.2">
      <c r="A116" s="314"/>
      <c r="B116" s="315"/>
      <c r="C116" s="303"/>
      <c r="D116" s="305"/>
      <c r="E116" s="309"/>
      <c r="F116" s="311">
        <v>2</v>
      </c>
      <c r="G116" s="9">
        <v>2</v>
      </c>
      <c r="H116" s="8"/>
      <c r="I116" s="324"/>
      <c r="J116" s="325"/>
    </row>
    <row r="117" spans="1:10" outlineLevel="2" x14ac:dyDescent="0.2">
      <c r="A117" s="314">
        <v>57</v>
      </c>
      <c r="B117" s="315"/>
      <c r="C117" s="303" t="s">
        <v>285</v>
      </c>
      <c r="D117" s="305" t="s">
        <v>286</v>
      </c>
      <c r="E117" s="309">
        <f>G118</f>
        <v>2</v>
      </c>
      <c r="F117" s="311">
        <v>12750</v>
      </c>
      <c r="G117" s="10">
        <v>12750</v>
      </c>
      <c r="H117" s="8"/>
      <c r="I117" s="324"/>
      <c r="J117" s="325"/>
    </row>
    <row r="118" spans="1:10" outlineLevel="2" x14ac:dyDescent="0.2">
      <c r="A118" s="314"/>
      <c r="B118" s="315"/>
      <c r="C118" s="303"/>
      <c r="D118" s="305"/>
      <c r="E118" s="309"/>
      <c r="F118" s="311">
        <v>2</v>
      </c>
      <c r="G118" s="9">
        <v>2</v>
      </c>
      <c r="H118" s="8"/>
      <c r="I118" s="324"/>
      <c r="J118" s="325"/>
    </row>
    <row r="119" spans="1:10" ht="12.75" customHeight="1" outlineLevel="2" x14ac:dyDescent="0.2">
      <c r="A119" s="314">
        <v>58</v>
      </c>
      <c r="B119" s="315"/>
      <c r="C119" s="303" t="s">
        <v>287</v>
      </c>
      <c r="D119" s="305" t="s">
        <v>288</v>
      </c>
      <c r="E119" s="309">
        <f>G120</f>
        <v>1</v>
      </c>
      <c r="F119" s="311">
        <v>26900</v>
      </c>
      <c r="G119" s="7">
        <v>26900</v>
      </c>
      <c r="H119" s="8"/>
      <c r="I119" s="324"/>
      <c r="J119" s="325"/>
    </row>
    <row r="120" spans="1:10" outlineLevel="2" x14ac:dyDescent="0.2">
      <c r="A120" s="314"/>
      <c r="B120" s="315"/>
      <c r="C120" s="303"/>
      <c r="D120" s="305"/>
      <c r="E120" s="309"/>
      <c r="F120" s="311">
        <v>1</v>
      </c>
      <c r="G120" s="9">
        <v>1</v>
      </c>
      <c r="H120" s="8"/>
      <c r="I120" s="324"/>
      <c r="J120" s="325"/>
    </row>
    <row r="121" spans="1:10" outlineLevel="2" x14ac:dyDescent="0.2">
      <c r="A121" s="314">
        <v>59</v>
      </c>
      <c r="B121" s="315"/>
      <c r="C121" s="303" t="s">
        <v>291</v>
      </c>
      <c r="D121" s="305" t="s">
        <v>292</v>
      </c>
      <c r="E121" s="309">
        <f>G122</f>
        <v>2</v>
      </c>
      <c r="F121" s="311">
        <v>27568.95</v>
      </c>
      <c r="G121" s="7">
        <v>27568.95</v>
      </c>
      <c r="H121" s="8"/>
      <c r="I121" s="324"/>
      <c r="J121" s="325"/>
    </row>
    <row r="122" spans="1:10" outlineLevel="2" x14ac:dyDescent="0.2">
      <c r="A122" s="314"/>
      <c r="B122" s="315"/>
      <c r="C122" s="303"/>
      <c r="D122" s="305"/>
      <c r="E122" s="309"/>
      <c r="F122" s="311">
        <v>2</v>
      </c>
      <c r="G122" s="9">
        <v>2</v>
      </c>
      <c r="H122" s="8"/>
      <c r="I122" s="324"/>
      <c r="J122" s="325"/>
    </row>
    <row r="123" spans="1:10" outlineLevel="2" x14ac:dyDescent="0.2">
      <c r="A123" s="314">
        <v>60</v>
      </c>
      <c r="B123" s="315"/>
      <c r="C123" s="303" t="s">
        <v>293</v>
      </c>
      <c r="D123" s="305" t="s">
        <v>294</v>
      </c>
      <c r="E123" s="309">
        <v>5</v>
      </c>
      <c r="F123" s="311">
        <v>23325</v>
      </c>
      <c r="G123" s="10">
        <v>13995</v>
      </c>
      <c r="H123" s="8"/>
      <c r="I123" s="324"/>
      <c r="J123" s="325"/>
    </row>
    <row r="124" spans="1:10" outlineLevel="2" x14ac:dyDescent="0.2">
      <c r="A124" s="314"/>
      <c r="B124" s="315"/>
      <c r="C124" s="303"/>
      <c r="D124" s="305"/>
      <c r="E124" s="309"/>
      <c r="F124" s="311">
        <v>3</v>
      </c>
      <c r="G124" s="9">
        <v>3</v>
      </c>
      <c r="H124" s="8"/>
      <c r="I124" s="324"/>
      <c r="J124" s="325"/>
    </row>
    <row r="125" spans="1:10" outlineLevel="2" x14ac:dyDescent="0.2">
      <c r="A125" s="314">
        <v>61</v>
      </c>
      <c r="B125" s="315"/>
      <c r="C125" s="303" t="s">
        <v>295</v>
      </c>
      <c r="D125" s="305" t="s">
        <v>296</v>
      </c>
      <c r="E125" s="309">
        <v>4</v>
      </c>
      <c r="F125" s="311">
        <v>22480</v>
      </c>
      <c r="G125" s="7">
        <v>22480</v>
      </c>
      <c r="H125" s="8"/>
      <c r="I125" s="324"/>
      <c r="J125" s="325"/>
    </row>
    <row r="126" spans="1:10" outlineLevel="2" x14ac:dyDescent="0.2">
      <c r="A126" s="314"/>
      <c r="B126" s="315"/>
      <c r="C126" s="303"/>
      <c r="D126" s="305"/>
      <c r="E126" s="309"/>
      <c r="F126" s="311">
        <v>1</v>
      </c>
      <c r="G126" s="9">
        <v>1</v>
      </c>
      <c r="H126" s="8"/>
      <c r="I126" s="324"/>
      <c r="J126" s="325"/>
    </row>
    <row r="127" spans="1:10" outlineLevel="2" x14ac:dyDescent="0.2">
      <c r="A127" s="314">
        <v>63</v>
      </c>
      <c r="B127" s="315"/>
      <c r="C127" s="303" t="s">
        <v>307</v>
      </c>
      <c r="D127" s="305" t="s">
        <v>308</v>
      </c>
      <c r="E127" s="309">
        <f>G128</f>
        <v>1</v>
      </c>
      <c r="F127" s="311">
        <v>11797.5</v>
      </c>
      <c r="G127" s="7">
        <v>11797.5</v>
      </c>
      <c r="H127" s="8"/>
      <c r="I127" s="324"/>
      <c r="J127" s="325"/>
    </row>
    <row r="128" spans="1:10" outlineLevel="2" x14ac:dyDescent="0.2">
      <c r="A128" s="314"/>
      <c r="B128" s="315"/>
      <c r="C128" s="303"/>
      <c r="D128" s="305"/>
      <c r="E128" s="309"/>
      <c r="F128" s="311">
        <v>1</v>
      </c>
      <c r="G128" s="9">
        <v>1</v>
      </c>
      <c r="H128" s="8"/>
      <c r="I128" s="324"/>
      <c r="J128" s="325"/>
    </row>
    <row r="129" spans="1:10" outlineLevel="2" x14ac:dyDescent="0.2">
      <c r="A129" s="314">
        <v>65</v>
      </c>
      <c r="B129" s="315"/>
      <c r="C129" s="303" t="s">
        <v>313</v>
      </c>
      <c r="D129" s="305" t="s">
        <v>314</v>
      </c>
      <c r="E129" s="309">
        <f t="shared" ref="E129:E139" si="2">G130</f>
        <v>2</v>
      </c>
      <c r="F129" s="311">
        <v>22188.23</v>
      </c>
      <c r="G129" s="7">
        <v>22188.23</v>
      </c>
      <c r="H129" s="8"/>
      <c r="I129" s="324"/>
      <c r="J129" s="325"/>
    </row>
    <row r="130" spans="1:10" outlineLevel="2" x14ac:dyDescent="0.2">
      <c r="A130" s="314"/>
      <c r="B130" s="315"/>
      <c r="C130" s="303"/>
      <c r="D130" s="305"/>
      <c r="E130" s="309"/>
      <c r="F130" s="311">
        <v>2</v>
      </c>
      <c r="G130" s="9">
        <v>2</v>
      </c>
      <c r="H130" s="8"/>
      <c r="I130" s="324"/>
      <c r="J130" s="325"/>
    </row>
    <row r="131" spans="1:10" outlineLevel="2" x14ac:dyDescent="0.2">
      <c r="A131" s="314">
        <v>66</v>
      </c>
      <c r="B131" s="315"/>
      <c r="C131" s="303" t="s">
        <v>317</v>
      </c>
      <c r="D131" s="305" t="s">
        <v>318</v>
      </c>
      <c r="E131" s="309">
        <f t="shared" si="2"/>
        <v>1</v>
      </c>
      <c r="F131" s="311">
        <v>19280.48</v>
      </c>
      <c r="G131" s="8">
        <v>19280.48</v>
      </c>
      <c r="H131" s="7"/>
      <c r="I131" s="324"/>
      <c r="J131" s="325"/>
    </row>
    <row r="132" spans="1:10" outlineLevel="2" x14ac:dyDescent="0.2">
      <c r="A132" s="314"/>
      <c r="B132" s="315"/>
      <c r="C132" s="303"/>
      <c r="D132" s="305"/>
      <c r="E132" s="309"/>
      <c r="F132" s="311">
        <v>1</v>
      </c>
      <c r="G132" s="8">
        <v>1</v>
      </c>
      <c r="H132" s="9"/>
      <c r="I132" s="324"/>
      <c r="J132" s="325"/>
    </row>
    <row r="133" spans="1:10" outlineLevel="2" x14ac:dyDescent="0.2">
      <c r="A133" s="314">
        <v>67</v>
      </c>
      <c r="B133" s="315"/>
      <c r="C133" s="303" t="s">
        <v>319</v>
      </c>
      <c r="D133" s="305" t="s">
        <v>320</v>
      </c>
      <c r="E133" s="309">
        <f t="shared" si="2"/>
        <v>1</v>
      </c>
      <c r="F133" s="311">
        <v>394576.53</v>
      </c>
      <c r="G133" s="7">
        <v>394576.53</v>
      </c>
      <c r="H133" s="8"/>
      <c r="I133" s="324"/>
      <c r="J133" s="325"/>
    </row>
    <row r="134" spans="1:10" outlineLevel="2" x14ac:dyDescent="0.2">
      <c r="A134" s="314"/>
      <c r="B134" s="315"/>
      <c r="C134" s="303"/>
      <c r="D134" s="305"/>
      <c r="E134" s="309"/>
      <c r="F134" s="311">
        <v>1</v>
      </c>
      <c r="G134" s="9">
        <v>1</v>
      </c>
      <c r="H134" s="8"/>
      <c r="I134" s="324"/>
      <c r="J134" s="325"/>
    </row>
    <row r="135" spans="1:10" outlineLevel="2" x14ac:dyDescent="0.2">
      <c r="A135" s="314">
        <v>68</v>
      </c>
      <c r="B135" s="315"/>
      <c r="C135" s="303" t="s">
        <v>321</v>
      </c>
      <c r="D135" s="305" t="s">
        <v>322</v>
      </c>
      <c r="E135" s="309">
        <f t="shared" si="2"/>
        <v>1</v>
      </c>
      <c r="F135" s="311">
        <v>267445.71000000002</v>
      </c>
      <c r="G135" s="7">
        <v>267445.71000000002</v>
      </c>
      <c r="H135" s="8"/>
      <c r="I135" s="324"/>
      <c r="J135" s="325"/>
    </row>
    <row r="136" spans="1:10" outlineLevel="2" x14ac:dyDescent="0.2">
      <c r="A136" s="314"/>
      <c r="B136" s="315"/>
      <c r="C136" s="303"/>
      <c r="D136" s="305"/>
      <c r="E136" s="309"/>
      <c r="F136" s="311">
        <v>1</v>
      </c>
      <c r="G136" s="9">
        <v>1</v>
      </c>
      <c r="H136" s="8"/>
      <c r="I136" s="324"/>
      <c r="J136" s="325"/>
    </row>
    <row r="137" spans="1:10" outlineLevel="2" x14ac:dyDescent="0.2">
      <c r="A137" s="314">
        <v>69</v>
      </c>
      <c r="B137" s="315"/>
      <c r="C137" s="303" t="s">
        <v>323</v>
      </c>
      <c r="D137" s="305" t="s">
        <v>324</v>
      </c>
      <c r="E137" s="309">
        <f t="shared" si="2"/>
        <v>1</v>
      </c>
      <c r="F137" s="311">
        <v>213656.74</v>
      </c>
      <c r="G137" s="7">
        <v>213656.74</v>
      </c>
      <c r="H137" s="8"/>
      <c r="I137" s="324"/>
      <c r="J137" s="325"/>
    </row>
    <row r="138" spans="1:10" outlineLevel="2" x14ac:dyDescent="0.2">
      <c r="A138" s="314"/>
      <c r="B138" s="315"/>
      <c r="C138" s="303"/>
      <c r="D138" s="305"/>
      <c r="E138" s="309"/>
      <c r="F138" s="311">
        <v>1</v>
      </c>
      <c r="G138" s="9">
        <v>1</v>
      </c>
      <c r="H138" s="8"/>
      <c r="I138" s="324"/>
      <c r="J138" s="325"/>
    </row>
    <row r="139" spans="1:10" ht="12.75" customHeight="1" outlineLevel="2" x14ac:dyDescent="0.2">
      <c r="A139" s="314">
        <v>70</v>
      </c>
      <c r="B139" s="315"/>
      <c r="C139" s="303" t="s">
        <v>329</v>
      </c>
      <c r="D139" s="305" t="s">
        <v>332</v>
      </c>
      <c r="E139" s="309">
        <f t="shared" si="2"/>
        <v>1</v>
      </c>
      <c r="F139" s="311">
        <v>14589.46</v>
      </c>
      <c r="G139" s="7">
        <v>14589.46</v>
      </c>
      <c r="H139" s="8"/>
      <c r="I139" s="324"/>
      <c r="J139" s="325"/>
    </row>
    <row r="140" spans="1:10" outlineLevel="2" x14ac:dyDescent="0.2">
      <c r="A140" s="314"/>
      <c r="B140" s="315"/>
      <c r="C140" s="303"/>
      <c r="D140" s="305"/>
      <c r="E140" s="309"/>
      <c r="F140" s="311">
        <v>1</v>
      </c>
      <c r="G140" s="9">
        <v>1</v>
      </c>
      <c r="H140" s="8"/>
      <c r="I140" s="324"/>
      <c r="J140" s="325"/>
    </row>
    <row r="141" spans="1:10" outlineLevel="2" x14ac:dyDescent="0.2">
      <c r="A141" s="314">
        <v>71</v>
      </c>
      <c r="B141" s="315"/>
      <c r="C141" s="303" t="s">
        <v>348</v>
      </c>
      <c r="D141" s="305" t="s">
        <v>349</v>
      </c>
      <c r="E141" s="309">
        <f>G142</f>
        <v>3</v>
      </c>
      <c r="F141" s="311">
        <v>10247.49</v>
      </c>
      <c r="G141" s="10">
        <v>10247.49</v>
      </c>
      <c r="H141" s="8"/>
      <c r="I141" s="324"/>
      <c r="J141" s="325"/>
    </row>
    <row r="142" spans="1:10" outlineLevel="2" x14ac:dyDescent="0.2">
      <c r="A142" s="314"/>
      <c r="B142" s="315"/>
      <c r="C142" s="303"/>
      <c r="D142" s="305"/>
      <c r="E142" s="309"/>
      <c r="F142" s="311">
        <v>3</v>
      </c>
      <c r="G142" s="9">
        <v>3</v>
      </c>
      <c r="H142" s="8"/>
      <c r="I142" s="324"/>
      <c r="J142" s="325"/>
    </row>
    <row r="143" spans="1:10" outlineLevel="3" x14ac:dyDescent="0.2">
      <c r="A143" s="314">
        <v>72</v>
      </c>
      <c r="B143" s="315"/>
      <c r="C143" s="303" t="s">
        <v>374</v>
      </c>
      <c r="D143" s="305" t="s">
        <v>375</v>
      </c>
      <c r="E143" s="309">
        <f>H144</f>
        <v>1</v>
      </c>
      <c r="F143" s="311">
        <v>11291.67</v>
      </c>
      <c r="G143" s="10"/>
      <c r="H143" s="8">
        <v>11291.67</v>
      </c>
      <c r="I143" s="324"/>
      <c r="J143" s="325"/>
    </row>
    <row r="144" spans="1:10" outlineLevel="3" x14ac:dyDescent="0.2">
      <c r="A144" s="314"/>
      <c r="B144" s="315"/>
      <c r="C144" s="303"/>
      <c r="D144" s="305"/>
      <c r="E144" s="309"/>
      <c r="F144" s="311">
        <v>1</v>
      </c>
      <c r="G144" s="9"/>
      <c r="H144" s="8">
        <v>1</v>
      </c>
      <c r="I144" s="324"/>
      <c r="J144" s="325"/>
    </row>
    <row r="145" spans="1:10" ht="12.75" customHeight="1" outlineLevel="3" x14ac:dyDescent="0.2">
      <c r="A145" s="314">
        <v>73</v>
      </c>
      <c r="B145" s="315"/>
      <c r="C145" s="303" t="s">
        <v>185</v>
      </c>
      <c r="D145" s="305" t="s">
        <v>186</v>
      </c>
      <c r="E145" s="309">
        <f>H146</f>
        <v>1</v>
      </c>
      <c r="F145" s="311">
        <v>58332.5</v>
      </c>
      <c r="G145" s="10"/>
      <c r="H145" s="8">
        <v>58332.5</v>
      </c>
      <c r="I145" s="324"/>
      <c r="J145" s="325"/>
    </row>
    <row r="146" spans="1:10" outlineLevel="3" x14ac:dyDescent="0.2">
      <c r="A146" s="314"/>
      <c r="B146" s="315"/>
      <c r="C146" s="303"/>
      <c r="D146" s="305"/>
      <c r="E146" s="309"/>
      <c r="F146" s="311">
        <v>1</v>
      </c>
      <c r="G146" s="9"/>
      <c r="H146" s="8">
        <v>1</v>
      </c>
      <c r="I146" s="324"/>
      <c r="J146" s="325"/>
    </row>
    <row r="147" spans="1:10" outlineLevel="3" x14ac:dyDescent="0.2">
      <c r="A147" s="314">
        <v>74</v>
      </c>
      <c r="B147" s="315"/>
      <c r="C147" s="303" t="s">
        <v>376</v>
      </c>
      <c r="D147" s="305" t="s">
        <v>377</v>
      </c>
      <c r="E147" s="309">
        <f>H148</f>
        <v>1</v>
      </c>
      <c r="F147" s="311">
        <v>12491.67</v>
      </c>
      <c r="G147" s="10"/>
      <c r="H147" s="8">
        <v>12491.67</v>
      </c>
      <c r="I147" s="324"/>
      <c r="J147" s="325"/>
    </row>
    <row r="148" spans="1:10" outlineLevel="3" x14ac:dyDescent="0.2">
      <c r="A148" s="314"/>
      <c r="B148" s="315"/>
      <c r="C148" s="303"/>
      <c r="D148" s="305"/>
      <c r="E148" s="309"/>
      <c r="F148" s="311">
        <v>1</v>
      </c>
      <c r="G148" s="9"/>
      <c r="H148" s="8">
        <v>1</v>
      </c>
      <c r="I148" s="324"/>
      <c r="J148" s="325"/>
    </row>
    <row r="149" spans="1:10" outlineLevel="3" x14ac:dyDescent="0.2">
      <c r="A149" s="314">
        <v>75</v>
      </c>
      <c r="B149" s="315"/>
      <c r="C149" s="303" t="s">
        <v>378</v>
      </c>
      <c r="D149" s="305" t="s">
        <v>379</v>
      </c>
      <c r="E149" s="309">
        <f>H150</f>
        <v>1</v>
      </c>
      <c r="F149" s="311">
        <v>16287.5</v>
      </c>
      <c r="G149" s="10"/>
      <c r="H149" s="8">
        <v>16287.5</v>
      </c>
      <c r="I149" s="324"/>
      <c r="J149" s="325"/>
    </row>
    <row r="150" spans="1:10" outlineLevel="3" x14ac:dyDescent="0.2">
      <c r="A150" s="314"/>
      <c r="B150" s="315"/>
      <c r="C150" s="303"/>
      <c r="D150" s="305"/>
      <c r="E150" s="309"/>
      <c r="F150" s="311">
        <v>1</v>
      </c>
      <c r="G150" s="9"/>
      <c r="H150" s="8">
        <v>1</v>
      </c>
      <c r="I150" s="324"/>
      <c r="J150" s="325"/>
    </row>
    <row r="151" spans="1:10" outlineLevel="3" x14ac:dyDescent="0.2">
      <c r="A151" s="314">
        <v>76</v>
      </c>
      <c r="B151" s="315"/>
      <c r="C151" s="303" t="s">
        <v>380</v>
      </c>
      <c r="D151" s="305" t="s">
        <v>381</v>
      </c>
      <c r="E151" s="309">
        <f>H152</f>
        <v>1</v>
      </c>
      <c r="F151" s="311">
        <v>29614.17</v>
      </c>
      <c r="G151" s="10"/>
      <c r="H151" s="8">
        <v>29614.17</v>
      </c>
      <c r="I151" s="324"/>
      <c r="J151" s="325"/>
    </row>
    <row r="152" spans="1:10" outlineLevel="3" x14ac:dyDescent="0.2">
      <c r="A152" s="314"/>
      <c r="B152" s="315"/>
      <c r="C152" s="303"/>
      <c r="D152" s="305"/>
      <c r="E152" s="309"/>
      <c r="F152" s="311">
        <v>1</v>
      </c>
      <c r="G152" s="9"/>
      <c r="H152" s="8">
        <v>1</v>
      </c>
      <c r="I152" s="324"/>
      <c r="J152" s="325"/>
    </row>
    <row r="153" spans="1:10" ht="12.75" customHeight="1" outlineLevel="3" x14ac:dyDescent="0.2">
      <c r="A153" s="314">
        <v>77</v>
      </c>
      <c r="B153" s="315"/>
      <c r="C153" s="303" t="s">
        <v>382</v>
      </c>
      <c r="D153" s="305" t="s">
        <v>383</v>
      </c>
      <c r="E153" s="309">
        <f>H154</f>
        <v>1</v>
      </c>
      <c r="F153" s="311">
        <v>19583.330000000002</v>
      </c>
      <c r="G153" s="7"/>
      <c r="H153" s="8">
        <v>19583.330000000002</v>
      </c>
      <c r="I153" s="324"/>
      <c r="J153" s="325"/>
    </row>
    <row r="154" spans="1:10" outlineLevel="3" x14ac:dyDescent="0.2">
      <c r="A154" s="314"/>
      <c r="B154" s="315"/>
      <c r="C154" s="303"/>
      <c r="D154" s="305"/>
      <c r="E154" s="309"/>
      <c r="F154" s="311">
        <v>1</v>
      </c>
      <c r="G154" s="9"/>
      <c r="H154" s="8">
        <v>1</v>
      </c>
      <c r="I154" s="324"/>
      <c r="J154" s="325"/>
    </row>
    <row r="155" spans="1:10" ht="12.75" customHeight="1" outlineLevel="3" x14ac:dyDescent="0.2">
      <c r="A155" s="314">
        <v>78</v>
      </c>
      <c r="B155" s="315"/>
      <c r="C155" s="303" t="s">
        <v>384</v>
      </c>
      <c r="D155" s="305" t="s">
        <v>385</v>
      </c>
      <c r="E155" s="309">
        <f>H156</f>
        <v>3</v>
      </c>
      <c r="F155" s="311">
        <v>14750</v>
      </c>
      <c r="G155" s="7"/>
      <c r="H155" s="8">
        <v>14750</v>
      </c>
      <c r="I155" s="324"/>
      <c r="J155" s="325"/>
    </row>
    <row r="156" spans="1:10" outlineLevel="3" x14ac:dyDescent="0.2">
      <c r="A156" s="314"/>
      <c r="B156" s="315"/>
      <c r="C156" s="303"/>
      <c r="D156" s="305"/>
      <c r="E156" s="309"/>
      <c r="F156" s="311">
        <v>3</v>
      </c>
      <c r="G156" s="9"/>
      <c r="H156" s="8">
        <v>3</v>
      </c>
      <c r="I156" s="324"/>
      <c r="J156" s="325"/>
    </row>
    <row r="157" spans="1:10" ht="12.75" customHeight="1" outlineLevel="3" x14ac:dyDescent="0.2">
      <c r="A157" s="314">
        <v>79</v>
      </c>
      <c r="B157" s="315"/>
      <c r="C157" s="303" t="s">
        <v>386</v>
      </c>
      <c r="D157" s="305" t="s">
        <v>387</v>
      </c>
      <c r="E157" s="309">
        <f>H158</f>
        <v>1</v>
      </c>
      <c r="F157" s="311">
        <v>46606.67</v>
      </c>
      <c r="G157" s="7"/>
      <c r="H157" s="8">
        <v>46606.67</v>
      </c>
      <c r="I157" s="324"/>
      <c r="J157" s="325"/>
    </row>
    <row r="158" spans="1:10" outlineLevel="3" x14ac:dyDescent="0.2">
      <c r="A158" s="314"/>
      <c r="B158" s="315"/>
      <c r="C158" s="303"/>
      <c r="D158" s="305"/>
      <c r="E158" s="309"/>
      <c r="F158" s="311">
        <v>1</v>
      </c>
      <c r="G158" s="9"/>
      <c r="H158" s="8">
        <v>1</v>
      </c>
      <c r="I158" s="324"/>
      <c r="J158" s="325"/>
    </row>
    <row r="159" spans="1:10" outlineLevel="3" x14ac:dyDescent="0.2">
      <c r="A159" s="314">
        <v>80</v>
      </c>
      <c r="B159" s="315"/>
      <c r="C159" s="303" t="s">
        <v>388</v>
      </c>
      <c r="D159" s="305" t="s">
        <v>389</v>
      </c>
      <c r="E159" s="309">
        <f>H160</f>
        <v>1</v>
      </c>
      <c r="F159" s="311">
        <v>37533.33</v>
      </c>
      <c r="G159" s="7"/>
      <c r="H159" s="8">
        <v>37533.33</v>
      </c>
      <c r="I159" s="324"/>
      <c r="J159" s="325"/>
    </row>
    <row r="160" spans="1:10" outlineLevel="3" x14ac:dyDescent="0.2">
      <c r="A160" s="314"/>
      <c r="B160" s="315"/>
      <c r="C160" s="303"/>
      <c r="D160" s="305"/>
      <c r="E160" s="309"/>
      <c r="F160" s="311">
        <v>1</v>
      </c>
      <c r="G160" s="9"/>
      <c r="H160" s="8">
        <v>1</v>
      </c>
      <c r="I160" s="324"/>
      <c r="J160" s="325"/>
    </row>
    <row r="161" spans="1:10" ht="12.75" customHeight="1" outlineLevel="3" x14ac:dyDescent="0.2">
      <c r="A161" s="314">
        <v>81</v>
      </c>
      <c r="B161" s="315"/>
      <c r="C161" s="303" t="s">
        <v>390</v>
      </c>
      <c r="D161" s="305" t="s">
        <v>391</v>
      </c>
      <c r="E161" s="309">
        <f>H162</f>
        <v>1</v>
      </c>
      <c r="F161" s="311">
        <v>12499.17</v>
      </c>
      <c r="G161" s="7"/>
      <c r="H161" s="8">
        <v>12499.17</v>
      </c>
      <c r="I161" s="324"/>
      <c r="J161" s="325"/>
    </row>
    <row r="162" spans="1:10" outlineLevel="3" x14ac:dyDescent="0.2">
      <c r="A162" s="314"/>
      <c r="B162" s="315"/>
      <c r="C162" s="303"/>
      <c r="D162" s="305"/>
      <c r="E162" s="309"/>
      <c r="F162" s="311">
        <v>1</v>
      </c>
      <c r="G162" s="9"/>
      <c r="H162" s="8">
        <v>1</v>
      </c>
      <c r="I162" s="324"/>
      <c r="J162" s="325"/>
    </row>
    <row r="163" spans="1:10" ht="12.75" customHeight="1" outlineLevel="3" x14ac:dyDescent="0.2">
      <c r="A163" s="314">
        <v>82</v>
      </c>
      <c r="B163" s="315"/>
      <c r="C163" s="303" t="s">
        <v>392</v>
      </c>
      <c r="D163" s="305" t="s">
        <v>393</v>
      </c>
      <c r="E163" s="309">
        <f>H164</f>
        <v>1</v>
      </c>
      <c r="F163" s="311">
        <v>10078.33</v>
      </c>
      <c r="G163" s="7"/>
      <c r="H163" s="8">
        <v>10078.33</v>
      </c>
      <c r="I163" s="324"/>
      <c r="J163" s="325"/>
    </row>
    <row r="164" spans="1:10" outlineLevel="3" x14ac:dyDescent="0.2">
      <c r="A164" s="314"/>
      <c r="B164" s="315"/>
      <c r="C164" s="303"/>
      <c r="D164" s="305"/>
      <c r="E164" s="309"/>
      <c r="F164" s="311">
        <v>1</v>
      </c>
      <c r="G164" s="9"/>
      <c r="H164" s="8">
        <v>1</v>
      </c>
      <c r="I164" s="324"/>
      <c r="J164" s="325"/>
    </row>
    <row r="165" spans="1:10" ht="12.75" customHeight="1" outlineLevel="3" x14ac:dyDescent="0.2">
      <c r="A165" s="314">
        <v>83</v>
      </c>
      <c r="B165" s="315"/>
      <c r="C165" s="303" t="s">
        <v>396</v>
      </c>
      <c r="D165" s="305" t="s">
        <v>397</v>
      </c>
      <c r="E165" s="309">
        <f>H166</f>
        <v>4</v>
      </c>
      <c r="F165" s="311">
        <v>40666.67</v>
      </c>
      <c r="G165" s="7"/>
      <c r="H165" s="8">
        <v>40666.67</v>
      </c>
      <c r="I165" s="324"/>
      <c r="J165" s="325"/>
    </row>
    <row r="166" spans="1:10" outlineLevel="3" x14ac:dyDescent="0.2">
      <c r="A166" s="314"/>
      <c r="B166" s="315"/>
      <c r="C166" s="303"/>
      <c r="D166" s="305"/>
      <c r="E166" s="309"/>
      <c r="F166" s="311">
        <v>4</v>
      </c>
      <c r="G166" s="9"/>
      <c r="H166" s="8">
        <v>4</v>
      </c>
      <c r="I166" s="324"/>
      <c r="J166" s="325"/>
    </row>
    <row r="167" spans="1:10" ht="12.75" customHeight="1" outlineLevel="3" x14ac:dyDescent="0.2">
      <c r="A167" s="314">
        <v>84</v>
      </c>
      <c r="B167" s="315"/>
      <c r="C167" s="303" t="s">
        <v>398</v>
      </c>
      <c r="D167" s="305" t="s">
        <v>399</v>
      </c>
      <c r="E167" s="309">
        <f>H168</f>
        <v>2</v>
      </c>
      <c r="F167" s="311">
        <v>87083.33</v>
      </c>
      <c r="G167" s="7"/>
      <c r="H167" s="8">
        <v>87083.33</v>
      </c>
      <c r="I167" s="324"/>
      <c r="J167" s="325"/>
    </row>
    <row r="168" spans="1:10" outlineLevel="3" x14ac:dyDescent="0.2">
      <c r="A168" s="314"/>
      <c r="B168" s="315"/>
      <c r="C168" s="303"/>
      <c r="D168" s="305"/>
      <c r="E168" s="309"/>
      <c r="F168" s="311">
        <v>2</v>
      </c>
      <c r="G168" s="9"/>
      <c r="H168" s="8">
        <v>2</v>
      </c>
      <c r="I168" s="324"/>
      <c r="J168" s="325"/>
    </row>
    <row r="169" spans="1:10" outlineLevel="3" x14ac:dyDescent="0.2">
      <c r="A169" s="314">
        <v>85</v>
      </c>
      <c r="B169" s="315"/>
      <c r="C169" s="303" t="s">
        <v>400</v>
      </c>
      <c r="D169" s="305" t="s">
        <v>401</v>
      </c>
      <c r="E169" s="309">
        <f>H170</f>
        <v>6</v>
      </c>
      <c r="F169" s="311">
        <v>374450</v>
      </c>
      <c r="G169" s="7"/>
      <c r="H169" s="8">
        <v>374450</v>
      </c>
      <c r="I169" s="324"/>
      <c r="J169" s="325"/>
    </row>
    <row r="170" spans="1:10" outlineLevel="3" x14ac:dyDescent="0.2">
      <c r="A170" s="314"/>
      <c r="B170" s="315"/>
      <c r="C170" s="303"/>
      <c r="D170" s="305"/>
      <c r="E170" s="309"/>
      <c r="F170" s="311">
        <v>6</v>
      </c>
      <c r="G170" s="9"/>
      <c r="H170" s="8">
        <v>6</v>
      </c>
      <c r="I170" s="324"/>
      <c r="J170" s="325"/>
    </row>
    <row r="171" spans="1:10" ht="12.75" customHeight="1" outlineLevel="3" x14ac:dyDescent="0.2">
      <c r="A171" s="314">
        <v>86</v>
      </c>
      <c r="B171" s="315"/>
      <c r="C171" s="303" t="s">
        <v>402</v>
      </c>
      <c r="D171" s="305" t="s">
        <v>403</v>
      </c>
      <c r="E171" s="309">
        <f>H172</f>
        <v>1</v>
      </c>
      <c r="F171" s="311">
        <v>65832.5</v>
      </c>
      <c r="G171" s="7"/>
      <c r="H171" s="8">
        <v>65832.5</v>
      </c>
      <c r="I171" s="324"/>
      <c r="J171" s="325"/>
    </row>
    <row r="172" spans="1:10" outlineLevel="3" x14ac:dyDescent="0.2">
      <c r="A172" s="314"/>
      <c r="B172" s="315"/>
      <c r="C172" s="303"/>
      <c r="D172" s="305"/>
      <c r="E172" s="309"/>
      <c r="F172" s="311">
        <v>1</v>
      </c>
      <c r="G172" s="9"/>
      <c r="H172" s="8">
        <v>1</v>
      </c>
      <c r="I172" s="324"/>
      <c r="J172" s="325"/>
    </row>
    <row r="173" spans="1:10" ht="12.75" customHeight="1" outlineLevel="3" x14ac:dyDescent="0.2">
      <c r="A173" s="314">
        <v>87</v>
      </c>
      <c r="B173" s="315"/>
      <c r="C173" s="303" t="s">
        <v>404</v>
      </c>
      <c r="D173" s="305" t="s">
        <v>405</v>
      </c>
      <c r="E173" s="309">
        <f>H174</f>
        <v>1</v>
      </c>
      <c r="F173" s="311">
        <v>16250</v>
      </c>
      <c r="G173" s="7"/>
      <c r="H173" s="8">
        <v>16250</v>
      </c>
      <c r="I173" s="324"/>
      <c r="J173" s="325"/>
    </row>
    <row r="174" spans="1:10" outlineLevel="3" x14ac:dyDescent="0.2">
      <c r="A174" s="314"/>
      <c r="B174" s="315"/>
      <c r="C174" s="303"/>
      <c r="D174" s="305"/>
      <c r="E174" s="309"/>
      <c r="F174" s="311">
        <v>1</v>
      </c>
      <c r="G174" s="9"/>
      <c r="H174" s="8">
        <v>1</v>
      </c>
      <c r="I174" s="324"/>
      <c r="J174" s="325"/>
    </row>
    <row r="175" spans="1:10" ht="12.75" customHeight="1" outlineLevel="3" x14ac:dyDescent="0.2">
      <c r="A175" s="314">
        <v>88</v>
      </c>
      <c r="B175" s="315"/>
      <c r="C175" s="303" t="s">
        <v>406</v>
      </c>
      <c r="D175" s="305" t="s">
        <v>407</v>
      </c>
      <c r="E175" s="309">
        <f>H176</f>
        <v>2</v>
      </c>
      <c r="F175" s="311">
        <v>23635</v>
      </c>
      <c r="G175" s="7"/>
      <c r="H175" s="8">
        <v>23635</v>
      </c>
      <c r="I175" s="324"/>
      <c r="J175" s="325"/>
    </row>
    <row r="176" spans="1:10" outlineLevel="3" x14ac:dyDescent="0.2">
      <c r="A176" s="314"/>
      <c r="B176" s="315"/>
      <c r="C176" s="303"/>
      <c r="D176" s="305"/>
      <c r="E176" s="309"/>
      <c r="F176" s="311">
        <v>2</v>
      </c>
      <c r="G176" s="9"/>
      <c r="H176" s="8">
        <v>2</v>
      </c>
      <c r="I176" s="324"/>
      <c r="J176" s="325"/>
    </row>
    <row r="177" spans="1:10" outlineLevel="3" x14ac:dyDescent="0.2">
      <c r="A177" s="314">
        <v>89</v>
      </c>
      <c r="B177" s="315"/>
      <c r="C177" s="303" t="s">
        <v>408</v>
      </c>
      <c r="D177" s="305" t="s">
        <v>409</v>
      </c>
      <c r="E177" s="309">
        <f>H178</f>
        <v>1</v>
      </c>
      <c r="F177" s="311">
        <v>37499.17</v>
      </c>
      <c r="G177" s="7"/>
      <c r="H177" s="8">
        <v>37499.17</v>
      </c>
      <c r="I177" s="324"/>
      <c r="J177" s="325"/>
    </row>
    <row r="178" spans="1:10" outlineLevel="3" x14ac:dyDescent="0.2">
      <c r="A178" s="314"/>
      <c r="B178" s="315"/>
      <c r="C178" s="303"/>
      <c r="D178" s="305"/>
      <c r="E178" s="309"/>
      <c r="F178" s="311">
        <v>1</v>
      </c>
      <c r="G178" s="9"/>
      <c r="H178" s="8">
        <v>1</v>
      </c>
      <c r="I178" s="324"/>
      <c r="J178" s="325"/>
    </row>
    <row r="179" spans="1:10" ht="12.75" customHeight="1" outlineLevel="3" x14ac:dyDescent="0.2">
      <c r="A179" s="314">
        <v>90</v>
      </c>
      <c r="B179" s="315"/>
      <c r="C179" s="303" t="s">
        <v>410</v>
      </c>
      <c r="D179" s="305" t="s">
        <v>411</v>
      </c>
      <c r="E179" s="309">
        <f>H180</f>
        <v>5</v>
      </c>
      <c r="F179" s="311">
        <v>943360.3</v>
      </c>
      <c r="G179" s="10">
        <v>550293.51</v>
      </c>
      <c r="H179" s="8">
        <v>393066.79</v>
      </c>
      <c r="I179" s="324"/>
      <c r="J179" s="325"/>
    </row>
    <row r="180" spans="1:10" outlineLevel="3" x14ac:dyDescent="0.2">
      <c r="A180" s="314"/>
      <c r="B180" s="315"/>
      <c r="C180" s="303"/>
      <c r="D180" s="305"/>
      <c r="E180" s="309"/>
      <c r="F180" s="311">
        <v>12</v>
      </c>
      <c r="G180" s="9">
        <v>7</v>
      </c>
      <c r="H180" s="8">
        <v>5</v>
      </c>
      <c r="I180" s="324"/>
      <c r="J180" s="325"/>
    </row>
    <row r="181" spans="1:10" ht="12.75" customHeight="1" outlineLevel="3" x14ac:dyDescent="0.2">
      <c r="A181" s="314">
        <v>91</v>
      </c>
      <c r="B181" s="315"/>
      <c r="C181" s="303" t="s">
        <v>416</v>
      </c>
      <c r="D181" s="305" t="s">
        <v>417</v>
      </c>
      <c r="E181" s="309">
        <f>H182</f>
        <v>1</v>
      </c>
      <c r="F181" s="311">
        <v>24583.33</v>
      </c>
      <c r="G181" s="7"/>
      <c r="H181" s="8">
        <v>24583.33</v>
      </c>
      <c r="I181" s="324"/>
      <c r="J181" s="325"/>
    </row>
    <row r="182" spans="1:10" outlineLevel="3" x14ac:dyDescent="0.2">
      <c r="A182" s="314"/>
      <c r="B182" s="315"/>
      <c r="C182" s="303"/>
      <c r="D182" s="305"/>
      <c r="E182" s="309"/>
      <c r="F182" s="311">
        <v>1</v>
      </c>
      <c r="G182" s="9"/>
      <c r="H182" s="8">
        <v>1</v>
      </c>
      <c r="I182" s="324"/>
      <c r="J182" s="325"/>
    </row>
    <row r="183" spans="1:10" ht="12.75" customHeight="1" outlineLevel="3" x14ac:dyDescent="0.2">
      <c r="A183" s="314">
        <v>92</v>
      </c>
      <c r="B183" s="315"/>
      <c r="C183" s="303" t="s">
        <v>418</v>
      </c>
      <c r="D183" s="305" t="s">
        <v>419</v>
      </c>
      <c r="E183" s="309">
        <f>H184</f>
        <v>2</v>
      </c>
      <c r="F183" s="311">
        <v>24035</v>
      </c>
      <c r="G183" s="10"/>
      <c r="H183" s="8">
        <v>24035</v>
      </c>
      <c r="I183" s="324"/>
      <c r="J183" s="325"/>
    </row>
    <row r="184" spans="1:10" outlineLevel="3" x14ac:dyDescent="0.2">
      <c r="A184" s="314"/>
      <c r="B184" s="315"/>
      <c r="C184" s="303"/>
      <c r="D184" s="305"/>
      <c r="E184" s="309"/>
      <c r="F184" s="311">
        <v>2</v>
      </c>
      <c r="G184" s="9"/>
      <c r="H184" s="8">
        <v>2</v>
      </c>
      <c r="I184" s="324"/>
      <c r="J184" s="325"/>
    </row>
    <row r="185" spans="1:10" ht="12.75" customHeight="1" outlineLevel="3" x14ac:dyDescent="0.2">
      <c r="A185" s="314">
        <v>93</v>
      </c>
      <c r="B185" s="315"/>
      <c r="C185" s="303" t="s">
        <v>420</v>
      </c>
      <c r="D185" s="305" t="s">
        <v>421</v>
      </c>
      <c r="E185" s="309">
        <f>H186</f>
        <v>1</v>
      </c>
      <c r="F185" s="311">
        <v>16105</v>
      </c>
      <c r="G185" s="8"/>
      <c r="H185" s="7">
        <v>16105</v>
      </c>
      <c r="I185" s="324"/>
      <c r="J185" s="325"/>
    </row>
    <row r="186" spans="1:10" outlineLevel="3" x14ac:dyDescent="0.2">
      <c r="A186" s="314"/>
      <c r="B186" s="315"/>
      <c r="C186" s="303"/>
      <c r="D186" s="305"/>
      <c r="E186" s="309"/>
      <c r="F186" s="311">
        <v>1</v>
      </c>
      <c r="G186" s="8"/>
      <c r="H186" s="9">
        <v>1</v>
      </c>
      <c r="I186" s="324"/>
      <c r="J186" s="325"/>
    </row>
    <row r="187" spans="1:10" ht="12.75" customHeight="1" outlineLevel="3" x14ac:dyDescent="0.2">
      <c r="A187" s="314">
        <v>94</v>
      </c>
      <c r="B187" s="315"/>
      <c r="C187" s="303" t="s">
        <v>422</v>
      </c>
      <c r="D187" s="305" t="s">
        <v>423</v>
      </c>
      <c r="E187" s="309">
        <f>H188</f>
        <v>1</v>
      </c>
      <c r="F187" s="311">
        <v>37083.33</v>
      </c>
      <c r="G187" s="7"/>
      <c r="H187" s="8">
        <v>37083.33</v>
      </c>
      <c r="I187" s="324"/>
      <c r="J187" s="325"/>
    </row>
    <row r="188" spans="1:10" outlineLevel="3" x14ac:dyDescent="0.2">
      <c r="A188" s="314"/>
      <c r="B188" s="315"/>
      <c r="C188" s="303"/>
      <c r="D188" s="305"/>
      <c r="E188" s="309"/>
      <c r="F188" s="311">
        <v>1</v>
      </c>
      <c r="G188" s="9"/>
      <c r="H188" s="8">
        <v>1</v>
      </c>
      <c r="I188" s="324"/>
      <c r="J188" s="325"/>
    </row>
    <row r="189" spans="1:10" outlineLevel="3" x14ac:dyDescent="0.2">
      <c r="A189" s="314">
        <v>95</v>
      </c>
      <c r="B189" s="315"/>
      <c r="C189" s="303" t="s">
        <v>424</v>
      </c>
      <c r="D189" s="305" t="s">
        <v>425</v>
      </c>
      <c r="E189" s="309">
        <f>H190</f>
        <v>1</v>
      </c>
      <c r="F189" s="311">
        <v>31665.83</v>
      </c>
      <c r="G189" s="10"/>
      <c r="H189" s="8">
        <v>31665.83</v>
      </c>
      <c r="I189" s="324"/>
      <c r="J189" s="325"/>
    </row>
    <row r="190" spans="1:10" outlineLevel="3" x14ac:dyDescent="0.2">
      <c r="A190" s="314"/>
      <c r="B190" s="315"/>
      <c r="C190" s="303"/>
      <c r="D190" s="305"/>
      <c r="E190" s="309"/>
      <c r="F190" s="311">
        <v>1</v>
      </c>
      <c r="G190" s="9"/>
      <c r="H190" s="8">
        <v>1</v>
      </c>
      <c r="I190" s="324"/>
      <c r="J190" s="325"/>
    </row>
    <row r="191" spans="1:10" outlineLevel="3" x14ac:dyDescent="0.2">
      <c r="A191" s="314">
        <v>96</v>
      </c>
      <c r="B191" s="315"/>
      <c r="C191" s="303" t="s">
        <v>426</v>
      </c>
      <c r="D191" s="305" t="s">
        <v>427</v>
      </c>
      <c r="E191" s="309">
        <f>H192</f>
        <v>1</v>
      </c>
      <c r="F191" s="311">
        <v>17100</v>
      </c>
      <c r="G191" s="7"/>
      <c r="H191" s="8">
        <v>17100</v>
      </c>
      <c r="I191" s="324"/>
      <c r="J191" s="325"/>
    </row>
    <row r="192" spans="1:10" outlineLevel="3" x14ac:dyDescent="0.2">
      <c r="A192" s="314"/>
      <c r="B192" s="315"/>
      <c r="C192" s="303"/>
      <c r="D192" s="305"/>
      <c r="E192" s="309"/>
      <c r="F192" s="311">
        <v>1</v>
      </c>
      <c r="G192" s="9"/>
      <c r="H192" s="8">
        <v>1</v>
      </c>
      <c r="I192" s="324"/>
      <c r="J192" s="325"/>
    </row>
    <row r="193" spans="1:10" outlineLevel="3" x14ac:dyDescent="0.2">
      <c r="A193" s="314">
        <v>97</v>
      </c>
      <c r="B193" s="315"/>
      <c r="C193" s="303" t="s">
        <v>430</v>
      </c>
      <c r="D193" s="305" t="s">
        <v>431</v>
      </c>
      <c r="E193" s="309">
        <f>H194</f>
        <v>1</v>
      </c>
      <c r="F193" s="311">
        <v>50537.5</v>
      </c>
      <c r="G193" s="7"/>
      <c r="H193" s="8">
        <v>50537.5</v>
      </c>
      <c r="I193" s="324"/>
      <c r="J193" s="325"/>
    </row>
    <row r="194" spans="1:10" outlineLevel="3" x14ac:dyDescent="0.2">
      <c r="A194" s="322"/>
      <c r="B194" s="323"/>
      <c r="C194" s="304"/>
      <c r="D194" s="306"/>
      <c r="E194" s="320"/>
      <c r="F194" s="321">
        <v>1</v>
      </c>
      <c r="G194" s="17"/>
      <c r="H194" s="16">
        <v>1</v>
      </c>
      <c r="I194" s="329"/>
      <c r="J194" s="330"/>
    </row>
    <row r="195" spans="1:10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  <row r="223" s="3" customFormat="1" x14ac:dyDescent="0.2"/>
    <row r="224" s="3" customFormat="1" x14ac:dyDescent="0.2"/>
    <row r="225" s="3" customFormat="1" x14ac:dyDescent="0.2"/>
    <row r="226" s="3" customFormat="1" x14ac:dyDescent="0.2"/>
    <row r="227" s="3" customFormat="1" x14ac:dyDescent="0.2"/>
    <row r="228" s="3" customFormat="1" x14ac:dyDescent="0.2"/>
    <row r="229" s="3" customFormat="1" x14ac:dyDescent="0.2"/>
    <row r="230" s="3" customFormat="1" x14ac:dyDescent="0.2"/>
    <row r="231" s="3" customFormat="1" x14ac:dyDescent="0.2"/>
    <row r="232" s="3" customFormat="1" x14ac:dyDescent="0.2"/>
    <row r="233" s="3" customFormat="1" x14ac:dyDescent="0.2"/>
    <row r="234" s="3" customFormat="1" x14ac:dyDescent="0.2"/>
    <row r="235" s="3" customFormat="1" x14ac:dyDescent="0.2"/>
    <row r="236" s="3" customFormat="1" x14ac:dyDescent="0.2"/>
    <row r="237" s="3" customFormat="1" x14ac:dyDescent="0.2"/>
    <row r="238" s="3" customFormat="1" x14ac:dyDescent="0.2"/>
    <row r="239" s="3" customFormat="1" x14ac:dyDescent="0.2"/>
    <row r="240" s="3" customFormat="1" x14ac:dyDescent="0.2"/>
    <row r="241" s="3" customFormat="1" x14ac:dyDescent="0.2"/>
    <row r="242" s="3" customFormat="1" x14ac:dyDescent="0.2"/>
    <row r="243" s="3" customFormat="1" x14ac:dyDescent="0.2"/>
    <row r="244" s="3" customFormat="1" x14ac:dyDescent="0.2"/>
    <row r="245" s="3" customFormat="1" x14ac:dyDescent="0.2"/>
    <row r="246" s="3" customFormat="1" x14ac:dyDescent="0.2"/>
    <row r="247" s="3" customFormat="1" x14ac:dyDescent="0.2"/>
    <row r="248" s="3" customFormat="1" x14ac:dyDescent="0.2"/>
    <row r="249" s="3" customFormat="1" x14ac:dyDescent="0.2"/>
    <row r="250" s="3" customFormat="1" x14ac:dyDescent="0.2"/>
    <row r="251" s="3" customFormat="1" x14ac:dyDescent="0.2"/>
    <row r="252" s="3" customFormat="1" x14ac:dyDescent="0.2"/>
    <row r="253" s="3" customFormat="1" x14ac:dyDescent="0.2"/>
    <row r="254" s="3" customFormat="1" x14ac:dyDescent="0.2"/>
    <row r="255" s="3" customFormat="1" x14ac:dyDescent="0.2"/>
    <row r="256" s="3" customFormat="1" x14ac:dyDescent="0.2"/>
    <row r="257" s="3" customFormat="1" x14ac:dyDescent="0.2"/>
    <row r="258" s="3" customFormat="1" x14ac:dyDescent="0.2"/>
    <row r="259" s="3" customFormat="1" x14ac:dyDescent="0.2"/>
    <row r="260" s="3" customFormat="1" x14ac:dyDescent="0.2"/>
    <row r="261" s="3" customFormat="1" x14ac:dyDescent="0.2"/>
    <row r="262" s="3" customFormat="1" x14ac:dyDescent="0.2"/>
    <row r="263" s="3" customFormat="1" x14ac:dyDescent="0.2"/>
    <row r="264" s="3" customFormat="1" x14ac:dyDescent="0.2"/>
    <row r="265" s="3" customFormat="1" x14ac:dyDescent="0.2"/>
    <row r="266" s="3" customFormat="1" x14ac:dyDescent="0.2"/>
    <row r="267" s="3" customFormat="1" x14ac:dyDescent="0.2"/>
    <row r="268" s="3" customFormat="1" x14ac:dyDescent="0.2"/>
    <row r="269" s="3" customFormat="1" x14ac:dyDescent="0.2"/>
    <row r="270" s="3" customFormat="1" x14ac:dyDescent="0.2"/>
    <row r="271" s="3" customFormat="1" x14ac:dyDescent="0.2"/>
    <row r="272" s="3" customFormat="1" x14ac:dyDescent="0.2"/>
    <row r="273" s="3" customFormat="1" x14ac:dyDescent="0.2"/>
    <row r="274" s="3" customFormat="1" x14ac:dyDescent="0.2"/>
    <row r="275" s="3" customFormat="1" x14ac:dyDescent="0.2"/>
    <row r="276" s="3" customFormat="1" x14ac:dyDescent="0.2"/>
    <row r="277" s="3" customFormat="1" x14ac:dyDescent="0.2"/>
    <row r="278" s="3" customFormat="1" x14ac:dyDescent="0.2"/>
    <row r="279" s="3" customFormat="1" x14ac:dyDescent="0.2"/>
    <row r="280" s="3" customFormat="1" x14ac:dyDescent="0.2"/>
    <row r="281" s="3" customFormat="1" x14ac:dyDescent="0.2"/>
    <row r="282" s="3" customFormat="1" x14ac:dyDescent="0.2"/>
    <row r="283" s="3" customFormat="1" x14ac:dyDescent="0.2"/>
    <row r="284" s="3" customFormat="1" x14ac:dyDescent="0.2"/>
    <row r="285" s="3" customFormat="1" x14ac:dyDescent="0.2"/>
    <row r="286" s="3" customFormat="1" x14ac:dyDescent="0.2"/>
    <row r="287" s="3" customFormat="1" x14ac:dyDescent="0.2"/>
    <row r="288" s="3" customFormat="1" x14ac:dyDescent="0.2"/>
    <row r="289" s="3" customFormat="1" x14ac:dyDescent="0.2"/>
    <row r="290" s="3" customFormat="1" x14ac:dyDescent="0.2"/>
    <row r="291" s="3" customFormat="1" x14ac:dyDescent="0.2"/>
    <row r="292" s="3" customFormat="1" x14ac:dyDescent="0.2"/>
    <row r="293" s="3" customFormat="1" x14ac:dyDescent="0.2"/>
    <row r="294" s="3" customFormat="1" x14ac:dyDescent="0.2"/>
    <row r="295" s="3" customFormat="1" x14ac:dyDescent="0.2"/>
    <row r="296" s="3" customFormat="1" x14ac:dyDescent="0.2"/>
    <row r="297" s="3" customFormat="1" x14ac:dyDescent="0.2"/>
    <row r="298" s="3" customFormat="1" x14ac:dyDescent="0.2"/>
    <row r="299" s="3" customFormat="1" x14ac:dyDescent="0.2"/>
    <row r="300" s="3" customFormat="1" x14ac:dyDescent="0.2"/>
    <row r="301" s="3" customFormat="1" x14ac:dyDescent="0.2"/>
    <row r="302" s="3" customFormat="1" x14ac:dyDescent="0.2"/>
    <row r="303" s="3" customFormat="1" x14ac:dyDescent="0.2"/>
    <row r="304" s="3" customFormat="1" x14ac:dyDescent="0.2"/>
    <row r="305" s="3" customFormat="1" x14ac:dyDescent="0.2"/>
    <row r="306" s="3" customFormat="1" x14ac:dyDescent="0.2"/>
    <row r="307" s="3" customFormat="1" x14ac:dyDescent="0.2"/>
    <row r="308" s="3" customFormat="1" x14ac:dyDescent="0.2"/>
    <row r="309" s="3" customFormat="1" x14ac:dyDescent="0.2"/>
    <row r="310" s="3" customFormat="1" x14ac:dyDescent="0.2"/>
    <row r="311" s="3" customFormat="1" x14ac:dyDescent="0.2"/>
    <row r="312" s="3" customFormat="1" x14ac:dyDescent="0.2"/>
    <row r="313" s="3" customFormat="1" x14ac:dyDescent="0.2"/>
    <row r="314" s="3" customFormat="1" x14ac:dyDescent="0.2"/>
    <row r="315" s="3" customFormat="1" x14ac:dyDescent="0.2"/>
    <row r="316" s="3" customFormat="1" x14ac:dyDescent="0.2"/>
    <row r="317" s="3" customFormat="1" x14ac:dyDescent="0.2"/>
    <row r="318" s="3" customFormat="1" x14ac:dyDescent="0.2"/>
    <row r="319" s="3" customFormat="1" x14ac:dyDescent="0.2"/>
    <row r="320" s="3" customFormat="1" x14ac:dyDescent="0.2"/>
    <row r="321" s="3" customFormat="1" x14ac:dyDescent="0.2"/>
    <row r="322" s="3" customFormat="1" x14ac:dyDescent="0.2"/>
    <row r="323" s="3" customFormat="1" x14ac:dyDescent="0.2"/>
    <row r="324" s="3" customFormat="1" x14ac:dyDescent="0.2"/>
    <row r="325" s="3" customFormat="1" x14ac:dyDescent="0.2"/>
    <row r="326" s="3" customFormat="1" x14ac:dyDescent="0.2"/>
    <row r="327" s="3" customFormat="1" x14ac:dyDescent="0.2"/>
    <row r="328" s="3" customFormat="1" x14ac:dyDescent="0.2"/>
    <row r="329" s="3" customFormat="1" x14ac:dyDescent="0.2"/>
    <row r="330" s="3" customFormat="1" x14ac:dyDescent="0.2"/>
    <row r="331" s="3" customFormat="1" x14ac:dyDescent="0.2"/>
    <row r="332" s="3" customFormat="1" x14ac:dyDescent="0.2"/>
    <row r="333" s="3" customFormat="1" x14ac:dyDescent="0.2"/>
    <row r="334" s="3" customFormat="1" x14ac:dyDescent="0.2"/>
    <row r="335" s="3" customFormat="1" x14ac:dyDescent="0.2"/>
    <row r="336" s="3" customFormat="1" x14ac:dyDescent="0.2"/>
    <row r="337" s="3" customFormat="1" x14ac:dyDescent="0.2"/>
    <row r="338" s="3" customFormat="1" x14ac:dyDescent="0.2"/>
    <row r="339" s="3" customFormat="1" x14ac:dyDescent="0.2"/>
    <row r="340" s="3" customFormat="1" x14ac:dyDescent="0.2"/>
    <row r="341" s="3" customFormat="1" x14ac:dyDescent="0.2"/>
    <row r="342" s="3" customFormat="1" x14ac:dyDescent="0.2"/>
    <row r="343" s="3" customFormat="1" x14ac:dyDescent="0.2"/>
    <row r="344" s="3" customFormat="1" x14ac:dyDescent="0.2"/>
    <row r="345" s="3" customFormat="1" x14ac:dyDescent="0.2"/>
    <row r="346" s="3" customFormat="1" x14ac:dyDescent="0.2"/>
    <row r="347" s="3" customFormat="1" x14ac:dyDescent="0.2"/>
    <row r="348" s="3" customFormat="1" x14ac:dyDescent="0.2"/>
    <row r="349" s="3" customFormat="1" x14ac:dyDescent="0.2"/>
    <row r="350" s="3" customFormat="1" x14ac:dyDescent="0.2"/>
    <row r="351" s="3" customFormat="1" x14ac:dyDescent="0.2"/>
    <row r="352" s="3" customFormat="1" x14ac:dyDescent="0.2"/>
    <row r="353" s="3" customFormat="1" x14ac:dyDescent="0.2"/>
    <row r="354" s="3" customFormat="1" x14ac:dyDescent="0.2"/>
    <row r="355" s="3" customFormat="1" x14ac:dyDescent="0.2"/>
    <row r="356" s="3" customFormat="1" x14ac:dyDescent="0.2"/>
    <row r="357" s="3" customFormat="1" x14ac:dyDescent="0.2"/>
    <row r="358" s="3" customFormat="1" x14ac:dyDescent="0.2"/>
    <row r="359" s="3" customFormat="1" x14ac:dyDescent="0.2"/>
    <row r="360" s="3" customFormat="1" x14ac:dyDescent="0.2"/>
    <row r="361" s="3" customFormat="1" x14ac:dyDescent="0.2"/>
    <row r="362" s="3" customFormat="1" x14ac:dyDescent="0.2"/>
    <row r="363" s="3" customFormat="1" x14ac:dyDescent="0.2"/>
    <row r="364" s="3" customFormat="1" x14ac:dyDescent="0.2"/>
    <row r="365" s="3" customFormat="1" x14ac:dyDescent="0.2"/>
    <row r="366" s="3" customFormat="1" x14ac:dyDescent="0.2"/>
    <row r="367" s="3" customFormat="1" x14ac:dyDescent="0.2"/>
    <row r="368" s="3" customFormat="1" x14ac:dyDescent="0.2"/>
    <row r="369" s="3" customFormat="1" x14ac:dyDescent="0.2"/>
    <row r="370" s="3" customFormat="1" x14ac:dyDescent="0.2"/>
    <row r="371" s="3" customFormat="1" x14ac:dyDescent="0.2"/>
    <row r="372" s="3" customFormat="1" x14ac:dyDescent="0.2"/>
    <row r="373" s="3" customFormat="1" x14ac:dyDescent="0.2"/>
    <row r="374" s="3" customFormat="1" x14ac:dyDescent="0.2"/>
    <row r="375" s="3" customFormat="1" x14ac:dyDescent="0.2"/>
    <row r="376" s="3" customFormat="1" x14ac:dyDescent="0.2"/>
    <row r="377" s="3" customFormat="1" x14ac:dyDescent="0.2"/>
    <row r="378" s="3" customFormat="1" x14ac:dyDescent="0.2"/>
    <row r="379" s="3" customFormat="1" x14ac:dyDescent="0.2"/>
    <row r="380" s="3" customFormat="1" x14ac:dyDescent="0.2"/>
    <row r="381" s="3" customFormat="1" x14ac:dyDescent="0.2"/>
    <row r="382" s="3" customFormat="1" x14ac:dyDescent="0.2"/>
    <row r="383" s="3" customFormat="1" x14ac:dyDescent="0.2"/>
    <row r="384" s="3" customFormat="1" x14ac:dyDescent="0.2"/>
    <row r="385" s="3" customFormat="1" x14ac:dyDescent="0.2"/>
    <row r="386" s="3" customFormat="1" x14ac:dyDescent="0.2"/>
    <row r="387" s="3" customFormat="1" x14ac:dyDescent="0.2"/>
    <row r="388" s="3" customFormat="1" x14ac:dyDescent="0.2"/>
    <row r="389" s="3" customFormat="1" x14ac:dyDescent="0.2"/>
    <row r="390" s="3" customFormat="1" x14ac:dyDescent="0.2"/>
    <row r="391" s="3" customFormat="1" x14ac:dyDescent="0.2"/>
    <row r="392" s="3" customFormat="1" x14ac:dyDescent="0.2"/>
    <row r="393" s="3" customFormat="1" x14ac:dyDescent="0.2"/>
    <row r="394" s="3" customFormat="1" x14ac:dyDescent="0.2"/>
    <row r="395" s="3" customFormat="1" x14ac:dyDescent="0.2"/>
    <row r="396" s="3" customFormat="1" x14ac:dyDescent="0.2"/>
    <row r="397" s="3" customFormat="1" x14ac:dyDescent="0.2"/>
    <row r="398" s="3" customFormat="1" x14ac:dyDescent="0.2"/>
    <row r="399" s="3" customFormat="1" x14ac:dyDescent="0.2"/>
    <row r="400" s="3" customFormat="1" x14ac:dyDescent="0.2"/>
    <row r="401" spans="1:10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x14ac:dyDescent="0.2">
      <c r="G405" s="18"/>
      <c r="H405" s="18"/>
      <c r="I405" s="318"/>
      <c r="J405" s="319"/>
    </row>
    <row r="406" spans="1:10" x14ac:dyDescent="0.2">
      <c r="G406" s="19"/>
      <c r="H406" s="20"/>
      <c r="I406" s="318"/>
      <c r="J406" s="319"/>
    </row>
  </sheetData>
  <autoFilter ref="A3:J194"/>
  <mergeCells count="771">
    <mergeCell ref="I189:I190"/>
    <mergeCell ref="J189:J190"/>
    <mergeCell ref="I191:I192"/>
    <mergeCell ref="J191:J192"/>
    <mergeCell ref="I193:I194"/>
    <mergeCell ref="J193:J194"/>
    <mergeCell ref="I183:I184"/>
    <mergeCell ref="J183:J184"/>
    <mergeCell ref="I185:I186"/>
    <mergeCell ref="J185:J186"/>
    <mergeCell ref="I187:I188"/>
    <mergeCell ref="J187:J188"/>
    <mergeCell ref="I177:I178"/>
    <mergeCell ref="J177:J178"/>
    <mergeCell ref="I179:I180"/>
    <mergeCell ref="J179:J180"/>
    <mergeCell ref="I181:I182"/>
    <mergeCell ref="J181:J182"/>
    <mergeCell ref="I171:I172"/>
    <mergeCell ref="J171:J172"/>
    <mergeCell ref="I173:I174"/>
    <mergeCell ref="J173:J174"/>
    <mergeCell ref="I175:I176"/>
    <mergeCell ref="J175:J176"/>
    <mergeCell ref="I165:I166"/>
    <mergeCell ref="J165:J166"/>
    <mergeCell ref="I167:I168"/>
    <mergeCell ref="J167:J168"/>
    <mergeCell ref="I169:I170"/>
    <mergeCell ref="J169:J170"/>
    <mergeCell ref="I159:I160"/>
    <mergeCell ref="J159:J160"/>
    <mergeCell ref="I161:I162"/>
    <mergeCell ref="J161:J162"/>
    <mergeCell ref="I163:I164"/>
    <mergeCell ref="J163:J164"/>
    <mergeCell ref="I153:I154"/>
    <mergeCell ref="J153:J154"/>
    <mergeCell ref="I155:I156"/>
    <mergeCell ref="J155:J156"/>
    <mergeCell ref="I157:I158"/>
    <mergeCell ref="J157:J158"/>
    <mergeCell ref="I147:I148"/>
    <mergeCell ref="J147:J148"/>
    <mergeCell ref="I149:I150"/>
    <mergeCell ref="J149:J150"/>
    <mergeCell ref="I151:I152"/>
    <mergeCell ref="J151:J152"/>
    <mergeCell ref="I141:I142"/>
    <mergeCell ref="J141:J142"/>
    <mergeCell ref="I143:I144"/>
    <mergeCell ref="J143:J144"/>
    <mergeCell ref="I145:I146"/>
    <mergeCell ref="J145:J146"/>
    <mergeCell ref="I135:I136"/>
    <mergeCell ref="J135:J136"/>
    <mergeCell ref="I137:I138"/>
    <mergeCell ref="J137:J138"/>
    <mergeCell ref="I139:I140"/>
    <mergeCell ref="J139:J140"/>
    <mergeCell ref="I129:I130"/>
    <mergeCell ref="J129:J130"/>
    <mergeCell ref="I131:I132"/>
    <mergeCell ref="J131:J132"/>
    <mergeCell ref="I133:I134"/>
    <mergeCell ref="J133:J134"/>
    <mergeCell ref="I123:I124"/>
    <mergeCell ref="J123:J124"/>
    <mergeCell ref="I125:I126"/>
    <mergeCell ref="J125:J126"/>
    <mergeCell ref="I127:I128"/>
    <mergeCell ref="J127:J128"/>
    <mergeCell ref="I117:I118"/>
    <mergeCell ref="J117:J118"/>
    <mergeCell ref="I119:I120"/>
    <mergeCell ref="J119:J120"/>
    <mergeCell ref="I121:I122"/>
    <mergeCell ref="J121:J122"/>
    <mergeCell ref="I111:I112"/>
    <mergeCell ref="J111:J112"/>
    <mergeCell ref="I113:I114"/>
    <mergeCell ref="J113:J114"/>
    <mergeCell ref="I115:I116"/>
    <mergeCell ref="J115:J116"/>
    <mergeCell ref="I105:I106"/>
    <mergeCell ref="J105:J106"/>
    <mergeCell ref="I107:I108"/>
    <mergeCell ref="J107:J108"/>
    <mergeCell ref="I109:I110"/>
    <mergeCell ref="J109:J110"/>
    <mergeCell ref="I99:I100"/>
    <mergeCell ref="J99:J100"/>
    <mergeCell ref="I101:I102"/>
    <mergeCell ref="J101:J102"/>
    <mergeCell ref="I103:I104"/>
    <mergeCell ref="J103:J104"/>
    <mergeCell ref="I93:I94"/>
    <mergeCell ref="J93:J94"/>
    <mergeCell ref="I95:I96"/>
    <mergeCell ref="J95:J96"/>
    <mergeCell ref="I97:I98"/>
    <mergeCell ref="J97:J98"/>
    <mergeCell ref="I87:I88"/>
    <mergeCell ref="J87:J88"/>
    <mergeCell ref="I89:I90"/>
    <mergeCell ref="J89:J90"/>
    <mergeCell ref="I91:I92"/>
    <mergeCell ref="J91:J92"/>
    <mergeCell ref="I81:I82"/>
    <mergeCell ref="J81:J82"/>
    <mergeCell ref="I83:I84"/>
    <mergeCell ref="J83:J84"/>
    <mergeCell ref="I85:I86"/>
    <mergeCell ref="J85:J86"/>
    <mergeCell ref="I75:I76"/>
    <mergeCell ref="J75:J76"/>
    <mergeCell ref="I77:I78"/>
    <mergeCell ref="J77:J78"/>
    <mergeCell ref="I79:I80"/>
    <mergeCell ref="J79:J80"/>
    <mergeCell ref="I69:I70"/>
    <mergeCell ref="J69:J70"/>
    <mergeCell ref="I71:I72"/>
    <mergeCell ref="J71:J72"/>
    <mergeCell ref="I73:I74"/>
    <mergeCell ref="J73:J74"/>
    <mergeCell ref="I63:I64"/>
    <mergeCell ref="J63:J64"/>
    <mergeCell ref="I65:I66"/>
    <mergeCell ref="J65:J66"/>
    <mergeCell ref="I67:I68"/>
    <mergeCell ref="J67:J68"/>
    <mergeCell ref="I57:I58"/>
    <mergeCell ref="J57:J58"/>
    <mergeCell ref="I59:I60"/>
    <mergeCell ref="J59:J60"/>
    <mergeCell ref="I61:I62"/>
    <mergeCell ref="J61:J62"/>
    <mergeCell ref="I51:I52"/>
    <mergeCell ref="J51:J52"/>
    <mergeCell ref="I53:I54"/>
    <mergeCell ref="J53:J54"/>
    <mergeCell ref="I55:I56"/>
    <mergeCell ref="J55:J56"/>
    <mergeCell ref="I45:I46"/>
    <mergeCell ref="J45:J46"/>
    <mergeCell ref="I47:I48"/>
    <mergeCell ref="J47:J48"/>
    <mergeCell ref="I49:I50"/>
    <mergeCell ref="J49:J50"/>
    <mergeCell ref="I39:I40"/>
    <mergeCell ref="J39:J40"/>
    <mergeCell ref="I41:I42"/>
    <mergeCell ref="J41:J42"/>
    <mergeCell ref="I43:I44"/>
    <mergeCell ref="J43:J44"/>
    <mergeCell ref="I33:I34"/>
    <mergeCell ref="J33:J34"/>
    <mergeCell ref="I35:I36"/>
    <mergeCell ref="J35:J36"/>
    <mergeCell ref="I37:I38"/>
    <mergeCell ref="J37:J38"/>
    <mergeCell ref="I27:I28"/>
    <mergeCell ref="J27:J28"/>
    <mergeCell ref="I29:I30"/>
    <mergeCell ref="J29:J30"/>
    <mergeCell ref="I31:I32"/>
    <mergeCell ref="J31:J32"/>
    <mergeCell ref="I21:I22"/>
    <mergeCell ref="J21:J22"/>
    <mergeCell ref="I23:I24"/>
    <mergeCell ref="J23:J24"/>
    <mergeCell ref="I25:I26"/>
    <mergeCell ref="J25:J26"/>
    <mergeCell ref="I15:I16"/>
    <mergeCell ref="J15:J16"/>
    <mergeCell ref="I17:I18"/>
    <mergeCell ref="J17:J18"/>
    <mergeCell ref="I19:I20"/>
    <mergeCell ref="J19:J20"/>
    <mergeCell ref="I9:I10"/>
    <mergeCell ref="J9:J10"/>
    <mergeCell ref="I11:I12"/>
    <mergeCell ref="J11:J12"/>
    <mergeCell ref="I13:I14"/>
    <mergeCell ref="J13:J14"/>
    <mergeCell ref="C3:C4"/>
    <mergeCell ref="D3:D4"/>
    <mergeCell ref="A191:A192"/>
    <mergeCell ref="B191:B192"/>
    <mergeCell ref="I3:I4"/>
    <mergeCell ref="J3:J4"/>
    <mergeCell ref="I5:I6"/>
    <mergeCell ref="J5:J6"/>
    <mergeCell ref="I7:I8"/>
    <mergeCell ref="J7:J8"/>
    <mergeCell ref="A183:A184"/>
    <mergeCell ref="B183:B184"/>
    <mergeCell ref="A171:A172"/>
    <mergeCell ref="B171:B172"/>
    <mergeCell ref="A173:A174"/>
    <mergeCell ref="B173:B174"/>
    <mergeCell ref="A175:A176"/>
    <mergeCell ref="B175:B176"/>
    <mergeCell ref="A193:A194"/>
    <mergeCell ref="B193:B194"/>
    <mergeCell ref="A185:A186"/>
    <mergeCell ref="B185:B186"/>
    <mergeCell ref="A187:A188"/>
    <mergeCell ref="B187:B188"/>
    <mergeCell ref="A189:A190"/>
    <mergeCell ref="B189:B190"/>
    <mergeCell ref="A177:A178"/>
    <mergeCell ref="B177:B178"/>
    <mergeCell ref="A179:A180"/>
    <mergeCell ref="B179:B180"/>
    <mergeCell ref="A181:A182"/>
    <mergeCell ref="B181:B182"/>
    <mergeCell ref="A165:A166"/>
    <mergeCell ref="B165:B166"/>
    <mergeCell ref="A167:A168"/>
    <mergeCell ref="B167:B168"/>
    <mergeCell ref="A169:A170"/>
    <mergeCell ref="B169:B170"/>
    <mergeCell ref="A159:A160"/>
    <mergeCell ref="B159:B160"/>
    <mergeCell ref="A161:A162"/>
    <mergeCell ref="B161:B162"/>
    <mergeCell ref="A163:A164"/>
    <mergeCell ref="B163:B164"/>
    <mergeCell ref="B151:B152"/>
    <mergeCell ref="B153:B154"/>
    <mergeCell ref="A155:A156"/>
    <mergeCell ref="B155:B156"/>
    <mergeCell ref="A157:A158"/>
    <mergeCell ref="B157:B158"/>
    <mergeCell ref="A153:A154"/>
    <mergeCell ref="A151:A152"/>
    <mergeCell ref="B145:B146"/>
    <mergeCell ref="B147:B148"/>
    <mergeCell ref="B149:B150"/>
    <mergeCell ref="A143:A144"/>
    <mergeCell ref="A145:A146"/>
    <mergeCell ref="A147:A148"/>
    <mergeCell ref="A149:A150"/>
    <mergeCell ref="B143:B144"/>
    <mergeCell ref="A137:A138"/>
    <mergeCell ref="B137:B138"/>
    <mergeCell ref="A139:A140"/>
    <mergeCell ref="B139:B140"/>
    <mergeCell ref="A141:A142"/>
    <mergeCell ref="B141:B142"/>
    <mergeCell ref="A131:A132"/>
    <mergeCell ref="B131:B132"/>
    <mergeCell ref="A133:A134"/>
    <mergeCell ref="B133:B134"/>
    <mergeCell ref="A135:A136"/>
    <mergeCell ref="B135:B136"/>
    <mergeCell ref="A125:A126"/>
    <mergeCell ref="B125:B126"/>
    <mergeCell ref="A127:A128"/>
    <mergeCell ref="B127:B128"/>
    <mergeCell ref="A129:A130"/>
    <mergeCell ref="B129:B130"/>
    <mergeCell ref="A119:A120"/>
    <mergeCell ref="B119:B120"/>
    <mergeCell ref="A121:A122"/>
    <mergeCell ref="B121:B122"/>
    <mergeCell ref="A123:A124"/>
    <mergeCell ref="B123:B124"/>
    <mergeCell ref="A113:A114"/>
    <mergeCell ref="B113:B114"/>
    <mergeCell ref="A115:A116"/>
    <mergeCell ref="B115:B116"/>
    <mergeCell ref="A117:A118"/>
    <mergeCell ref="B117:B118"/>
    <mergeCell ref="A107:A108"/>
    <mergeCell ref="B107:B108"/>
    <mergeCell ref="A109:A110"/>
    <mergeCell ref="B109:B110"/>
    <mergeCell ref="A111:A112"/>
    <mergeCell ref="B111:B112"/>
    <mergeCell ref="A101:A102"/>
    <mergeCell ref="B101:B102"/>
    <mergeCell ref="A103:A104"/>
    <mergeCell ref="B103:B104"/>
    <mergeCell ref="A105:A106"/>
    <mergeCell ref="B105:B106"/>
    <mergeCell ref="A95:A96"/>
    <mergeCell ref="B95:B96"/>
    <mergeCell ref="A97:A98"/>
    <mergeCell ref="B97:B98"/>
    <mergeCell ref="A99:A100"/>
    <mergeCell ref="B99:B100"/>
    <mergeCell ref="A89:A90"/>
    <mergeCell ref="B89:B90"/>
    <mergeCell ref="A91:A92"/>
    <mergeCell ref="B91:B92"/>
    <mergeCell ref="A93:A94"/>
    <mergeCell ref="B93:B94"/>
    <mergeCell ref="A83:A84"/>
    <mergeCell ref="B83:B84"/>
    <mergeCell ref="A85:A86"/>
    <mergeCell ref="B85:B86"/>
    <mergeCell ref="A87:A88"/>
    <mergeCell ref="B87:B88"/>
    <mergeCell ref="A77:A78"/>
    <mergeCell ref="B77:B78"/>
    <mergeCell ref="A79:A80"/>
    <mergeCell ref="B79:B80"/>
    <mergeCell ref="A81:A82"/>
    <mergeCell ref="B81:B82"/>
    <mergeCell ref="A71:A72"/>
    <mergeCell ref="B71:B72"/>
    <mergeCell ref="A73:A74"/>
    <mergeCell ref="B73:B74"/>
    <mergeCell ref="A75:A76"/>
    <mergeCell ref="B75:B76"/>
    <mergeCell ref="A65:A66"/>
    <mergeCell ref="B65:B66"/>
    <mergeCell ref="A67:A68"/>
    <mergeCell ref="B67:B68"/>
    <mergeCell ref="A69:A70"/>
    <mergeCell ref="B69:B70"/>
    <mergeCell ref="A59:A60"/>
    <mergeCell ref="B59:B60"/>
    <mergeCell ref="A61:A62"/>
    <mergeCell ref="B61:B62"/>
    <mergeCell ref="A63:A64"/>
    <mergeCell ref="B63:B64"/>
    <mergeCell ref="A53:A54"/>
    <mergeCell ref="B53:B54"/>
    <mergeCell ref="A55:A56"/>
    <mergeCell ref="B55:B56"/>
    <mergeCell ref="A57:A58"/>
    <mergeCell ref="B57:B58"/>
    <mergeCell ref="A47:A48"/>
    <mergeCell ref="B47:B48"/>
    <mergeCell ref="A49:A50"/>
    <mergeCell ref="B49:B50"/>
    <mergeCell ref="A51:A52"/>
    <mergeCell ref="B51:B52"/>
    <mergeCell ref="A41:A42"/>
    <mergeCell ref="B41:B42"/>
    <mergeCell ref="A43:A44"/>
    <mergeCell ref="B43:B44"/>
    <mergeCell ref="A45:A46"/>
    <mergeCell ref="B45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3:A24"/>
    <mergeCell ref="B23:B24"/>
    <mergeCell ref="A25:A26"/>
    <mergeCell ref="B25:B26"/>
    <mergeCell ref="A27:A28"/>
    <mergeCell ref="B27:B28"/>
    <mergeCell ref="I405:I406"/>
    <mergeCell ref="J405:J406"/>
    <mergeCell ref="A15:A16"/>
    <mergeCell ref="B15:B16"/>
    <mergeCell ref="A17:A18"/>
    <mergeCell ref="B17:B18"/>
    <mergeCell ref="A19:A20"/>
    <mergeCell ref="B19:B20"/>
    <mergeCell ref="A21:A22"/>
    <mergeCell ref="B21:B22"/>
    <mergeCell ref="E189:E190"/>
    <mergeCell ref="F189:F190"/>
    <mergeCell ref="E191:E192"/>
    <mergeCell ref="F191:F192"/>
    <mergeCell ref="E193:E194"/>
    <mergeCell ref="F193:F194"/>
    <mergeCell ref="E183:E184"/>
    <mergeCell ref="F183:F184"/>
    <mergeCell ref="A9:A10"/>
    <mergeCell ref="B9:B10"/>
    <mergeCell ref="A11:A12"/>
    <mergeCell ref="B11:B12"/>
    <mergeCell ref="A13:A14"/>
    <mergeCell ref="B13:B14"/>
    <mergeCell ref="B3:B4"/>
    <mergeCell ref="A3:A4"/>
    <mergeCell ref="A5:A6"/>
    <mergeCell ref="B5:B6"/>
    <mergeCell ref="A7:A8"/>
    <mergeCell ref="B7:B8"/>
    <mergeCell ref="E185:E186"/>
    <mergeCell ref="F185:F186"/>
    <mergeCell ref="E187:E188"/>
    <mergeCell ref="F187:F188"/>
    <mergeCell ref="E177:E178"/>
    <mergeCell ref="F177:F178"/>
    <mergeCell ref="E179:E180"/>
    <mergeCell ref="F179:F180"/>
    <mergeCell ref="E181:E182"/>
    <mergeCell ref="F181:F182"/>
    <mergeCell ref="E171:E172"/>
    <mergeCell ref="F171:F172"/>
    <mergeCell ref="E173:E174"/>
    <mergeCell ref="F173:F174"/>
    <mergeCell ref="E175:E176"/>
    <mergeCell ref="F175:F176"/>
    <mergeCell ref="E165:E166"/>
    <mergeCell ref="F165:F166"/>
    <mergeCell ref="E167:E168"/>
    <mergeCell ref="F167:F168"/>
    <mergeCell ref="E169:E170"/>
    <mergeCell ref="F169:F170"/>
    <mergeCell ref="E159:E160"/>
    <mergeCell ref="F159:F160"/>
    <mergeCell ref="E161:E162"/>
    <mergeCell ref="F161:F162"/>
    <mergeCell ref="E163:E164"/>
    <mergeCell ref="F163:F164"/>
    <mergeCell ref="E153:E154"/>
    <mergeCell ref="F153:F154"/>
    <mergeCell ref="E155:E156"/>
    <mergeCell ref="F155:F156"/>
    <mergeCell ref="E157:E158"/>
    <mergeCell ref="F157:F158"/>
    <mergeCell ref="E147:E148"/>
    <mergeCell ref="F147:F148"/>
    <mergeCell ref="E149:E150"/>
    <mergeCell ref="F149:F150"/>
    <mergeCell ref="E151:E152"/>
    <mergeCell ref="F151:F152"/>
    <mergeCell ref="E141:E142"/>
    <mergeCell ref="F141:F142"/>
    <mergeCell ref="E143:E144"/>
    <mergeCell ref="F143:F144"/>
    <mergeCell ref="E145:E146"/>
    <mergeCell ref="F145:F146"/>
    <mergeCell ref="E135:E136"/>
    <mergeCell ref="F135:F136"/>
    <mergeCell ref="E137:E138"/>
    <mergeCell ref="F137:F138"/>
    <mergeCell ref="E139:E140"/>
    <mergeCell ref="F139:F140"/>
    <mergeCell ref="E129:E130"/>
    <mergeCell ref="F129:F130"/>
    <mergeCell ref="E131:E132"/>
    <mergeCell ref="F131:F132"/>
    <mergeCell ref="E133:E134"/>
    <mergeCell ref="F133:F134"/>
    <mergeCell ref="E123:E124"/>
    <mergeCell ref="F123:F124"/>
    <mergeCell ref="E125:E126"/>
    <mergeCell ref="F125:F126"/>
    <mergeCell ref="E127:E128"/>
    <mergeCell ref="F127:F128"/>
    <mergeCell ref="E117:E118"/>
    <mergeCell ref="F117:F118"/>
    <mergeCell ref="E119:E120"/>
    <mergeCell ref="F119:F120"/>
    <mergeCell ref="E121:E122"/>
    <mergeCell ref="F121:F122"/>
    <mergeCell ref="E111:E112"/>
    <mergeCell ref="F111:F112"/>
    <mergeCell ref="E113:E114"/>
    <mergeCell ref="F113:F114"/>
    <mergeCell ref="E115:E116"/>
    <mergeCell ref="F115:F116"/>
    <mergeCell ref="E105:E106"/>
    <mergeCell ref="F105:F106"/>
    <mergeCell ref="E107:E108"/>
    <mergeCell ref="F107:F108"/>
    <mergeCell ref="E109:E110"/>
    <mergeCell ref="F109:F110"/>
    <mergeCell ref="E99:E100"/>
    <mergeCell ref="F99:F100"/>
    <mergeCell ref="E101:E102"/>
    <mergeCell ref="F101:F102"/>
    <mergeCell ref="E103:E104"/>
    <mergeCell ref="F103:F104"/>
    <mergeCell ref="E93:E94"/>
    <mergeCell ref="F93:F94"/>
    <mergeCell ref="E95:E96"/>
    <mergeCell ref="F95:F96"/>
    <mergeCell ref="E97:E98"/>
    <mergeCell ref="F97:F98"/>
    <mergeCell ref="E87:E88"/>
    <mergeCell ref="F87:F88"/>
    <mergeCell ref="E89:E90"/>
    <mergeCell ref="F89:F90"/>
    <mergeCell ref="E91:E92"/>
    <mergeCell ref="F91:F92"/>
    <mergeCell ref="E81:E82"/>
    <mergeCell ref="F81:F82"/>
    <mergeCell ref="E83:E84"/>
    <mergeCell ref="F83:F84"/>
    <mergeCell ref="E85:E86"/>
    <mergeCell ref="F85:F86"/>
    <mergeCell ref="E75:E76"/>
    <mergeCell ref="F75:F76"/>
    <mergeCell ref="E77:E78"/>
    <mergeCell ref="F77:F78"/>
    <mergeCell ref="E79:E80"/>
    <mergeCell ref="F79:F80"/>
    <mergeCell ref="E69:E70"/>
    <mergeCell ref="F69:F70"/>
    <mergeCell ref="E71:E72"/>
    <mergeCell ref="F71:F72"/>
    <mergeCell ref="E73:E74"/>
    <mergeCell ref="F73:F74"/>
    <mergeCell ref="E63:E64"/>
    <mergeCell ref="F63:F64"/>
    <mergeCell ref="E65:E66"/>
    <mergeCell ref="F65:F66"/>
    <mergeCell ref="E67:E68"/>
    <mergeCell ref="F67:F68"/>
    <mergeCell ref="E57:E58"/>
    <mergeCell ref="F57:F58"/>
    <mergeCell ref="E59:E60"/>
    <mergeCell ref="F59:F60"/>
    <mergeCell ref="E61:E62"/>
    <mergeCell ref="F61:F62"/>
    <mergeCell ref="E51:E52"/>
    <mergeCell ref="F51:F52"/>
    <mergeCell ref="E53:E54"/>
    <mergeCell ref="F53:F54"/>
    <mergeCell ref="E55:E56"/>
    <mergeCell ref="F55:F56"/>
    <mergeCell ref="E45:E46"/>
    <mergeCell ref="F45:F46"/>
    <mergeCell ref="E47:E48"/>
    <mergeCell ref="F47:F48"/>
    <mergeCell ref="E49:E50"/>
    <mergeCell ref="F49:F50"/>
    <mergeCell ref="E39:E40"/>
    <mergeCell ref="F39:F40"/>
    <mergeCell ref="E41:E42"/>
    <mergeCell ref="F41:F42"/>
    <mergeCell ref="E43:E44"/>
    <mergeCell ref="F43:F44"/>
    <mergeCell ref="E33:E34"/>
    <mergeCell ref="F33:F34"/>
    <mergeCell ref="E35:E36"/>
    <mergeCell ref="F35:F36"/>
    <mergeCell ref="E37:E38"/>
    <mergeCell ref="F37:F38"/>
    <mergeCell ref="E27:E28"/>
    <mergeCell ref="F27:F28"/>
    <mergeCell ref="E29:E30"/>
    <mergeCell ref="F29:F30"/>
    <mergeCell ref="E31:E32"/>
    <mergeCell ref="F31:F32"/>
    <mergeCell ref="E21:E22"/>
    <mergeCell ref="F21:F22"/>
    <mergeCell ref="E23:E24"/>
    <mergeCell ref="F23:F24"/>
    <mergeCell ref="E25:E26"/>
    <mergeCell ref="F25:F26"/>
    <mergeCell ref="E15:E16"/>
    <mergeCell ref="F15:F16"/>
    <mergeCell ref="E17:E18"/>
    <mergeCell ref="F17:F18"/>
    <mergeCell ref="E19:E20"/>
    <mergeCell ref="F19:F20"/>
    <mergeCell ref="E9:E10"/>
    <mergeCell ref="F9:F10"/>
    <mergeCell ref="E11:E12"/>
    <mergeCell ref="F11:F12"/>
    <mergeCell ref="E13:E14"/>
    <mergeCell ref="F13:F14"/>
    <mergeCell ref="E5:E6"/>
    <mergeCell ref="F5:F6"/>
    <mergeCell ref="E3:E4"/>
    <mergeCell ref="F3:F4"/>
    <mergeCell ref="E7:E8"/>
    <mergeCell ref="F7:F8"/>
    <mergeCell ref="C9:C10"/>
    <mergeCell ref="D9:D10"/>
    <mergeCell ref="C7:C8"/>
    <mergeCell ref="D7:D8"/>
    <mergeCell ref="C5:C6"/>
    <mergeCell ref="D5:D6"/>
    <mergeCell ref="C15:C16"/>
    <mergeCell ref="D15:D16"/>
    <mergeCell ref="C13:C14"/>
    <mergeCell ref="D13:D14"/>
    <mergeCell ref="C11:C12"/>
    <mergeCell ref="D11:D12"/>
    <mergeCell ref="C21:C22"/>
    <mergeCell ref="D21:D22"/>
    <mergeCell ref="C19:C20"/>
    <mergeCell ref="D19:D20"/>
    <mergeCell ref="C17:C18"/>
    <mergeCell ref="D17:D18"/>
    <mergeCell ref="C25:C26"/>
    <mergeCell ref="D25:D26"/>
    <mergeCell ref="C27:C28"/>
    <mergeCell ref="D27:D28"/>
    <mergeCell ref="C23:C24"/>
    <mergeCell ref="D23:D24"/>
    <mergeCell ref="C29:C30"/>
    <mergeCell ref="D29:D30"/>
    <mergeCell ref="C31:C32"/>
    <mergeCell ref="D31:D32"/>
    <mergeCell ref="C33:C34"/>
    <mergeCell ref="D33:D34"/>
    <mergeCell ref="C41:C42"/>
    <mergeCell ref="D41:D42"/>
    <mergeCell ref="C43:C44"/>
    <mergeCell ref="D43:D44"/>
    <mergeCell ref="C35:C36"/>
    <mergeCell ref="D35:D36"/>
    <mergeCell ref="C37:C38"/>
    <mergeCell ref="D37:D38"/>
    <mergeCell ref="C39:C40"/>
    <mergeCell ref="D39:D40"/>
    <mergeCell ref="C49:C50"/>
    <mergeCell ref="D49:D50"/>
    <mergeCell ref="C51:C52"/>
    <mergeCell ref="D51:D52"/>
    <mergeCell ref="C45:C46"/>
    <mergeCell ref="D45:D46"/>
    <mergeCell ref="C47:C48"/>
    <mergeCell ref="D47:D48"/>
    <mergeCell ref="C57:C58"/>
    <mergeCell ref="D57:D58"/>
    <mergeCell ref="C53:C54"/>
    <mergeCell ref="D53:D54"/>
    <mergeCell ref="C55:C56"/>
    <mergeCell ref="D55:D56"/>
    <mergeCell ref="C59:C60"/>
    <mergeCell ref="D59:D60"/>
    <mergeCell ref="C61:C62"/>
    <mergeCell ref="D61:D62"/>
    <mergeCell ref="C63:C64"/>
    <mergeCell ref="D63:D64"/>
    <mergeCell ref="C65:C66"/>
    <mergeCell ref="D65:D66"/>
    <mergeCell ref="C67:C68"/>
    <mergeCell ref="D67:D68"/>
    <mergeCell ref="C69:C70"/>
    <mergeCell ref="D69:D70"/>
    <mergeCell ref="C71:C72"/>
    <mergeCell ref="D71:D72"/>
    <mergeCell ref="C73:C74"/>
    <mergeCell ref="D73:D74"/>
    <mergeCell ref="C75:C76"/>
    <mergeCell ref="D75:D76"/>
    <mergeCell ref="C77:C78"/>
    <mergeCell ref="D77:D78"/>
    <mergeCell ref="C79:C80"/>
    <mergeCell ref="D79:D80"/>
    <mergeCell ref="C81:C82"/>
    <mergeCell ref="D81:D82"/>
    <mergeCell ref="C83:C84"/>
    <mergeCell ref="D83:D84"/>
    <mergeCell ref="C85:C86"/>
    <mergeCell ref="D85:D86"/>
    <mergeCell ref="C87:C88"/>
    <mergeCell ref="D87:D88"/>
    <mergeCell ref="C89:C90"/>
    <mergeCell ref="D89:D90"/>
    <mergeCell ref="C91:C92"/>
    <mergeCell ref="D91:D92"/>
    <mergeCell ref="C93:C94"/>
    <mergeCell ref="D93:D94"/>
    <mergeCell ref="C95:C96"/>
    <mergeCell ref="D95:D96"/>
    <mergeCell ref="C97:C98"/>
    <mergeCell ref="D97:D98"/>
    <mergeCell ref="C99:C100"/>
    <mergeCell ref="D99:D100"/>
    <mergeCell ref="C101:C102"/>
    <mergeCell ref="D101:D102"/>
    <mergeCell ref="C103:C104"/>
    <mergeCell ref="D103:D104"/>
    <mergeCell ref="C105:C106"/>
    <mergeCell ref="D105:D106"/>
    <mergeCell ref="C113:C114"/>
    <mergeCell ref="D113:D114"/>
    <mergeCell ref="C107:C108"/>
    <mergeCell ref="D107:D108"/>
    <mergeCell ref="C109:C110"/>
    <mergeCell ref="D109:D110"/>
    <mergeCell ref="C111:C112"/>
    <mergeCell ref="D111:D112"/>
    <mergeCell ref="C119:C120"/>
    <mergeCell ref="D119:D120"/>
    <mergeCell ref="C121:C122"/>
    <mergeCell ref="D121:D122"/>
    <mergeCell ref="C115:C116"/>
    <mergeCell ref="D115:D116"/>
    <mergeCell ref="C117:C118"/>
    <mergeCell ref="D117:D118"/>
    <mergeCell ref="C129:C130"/>
    <mergeCell ref="D129:D130"/>
    <mergeCell ref="C127:C128"/>
    <mergeCell ref="D127:D128"/>
    <mergeCell ref="C123:C124"/>
    <mergeCell ref="D123:D124"/>
    <mergeCell ref="C125:C126"/>
    <mergeCell ref="D125:D126"/>
    <mergeCell ref="C131:C132"/>
    <mergeCell ref="D131:D132"/>
    <mergeCell ref="C133:C134"/>
    <mergeCell ref="D133:D134"/>
    <mergeCell ref="C135:C136"/>
    <mergeCell ref="D135:D136"/>
    <mergeCell ref="C141:C142"/>
    <mergeCell ref="D141:D142"/>
    <mergeCell ref="C139:C140"/>
    <mergeCell ref="D139:D140"/>
    <mergeCell ref="C137:C138"/>
    <mergeCell ref="D137:D138"/>
    <mergeCell ref="C143:C144"/>
    <mergeCell ref="D143:D144"/>
    <mergeCell ref="C145:C146"/>
    <mergeCell ref="D145:D146"/>
    <mergeCell ref="C147:C148"/>
    <mergeCell ref="D147:D148"/>
    <mergeCell ref="C149:C150"/>
    <mergeCell ref="D149:D150"/>
    <mergeCell ref="C151:C152"/>
    <mergeCell ref="D151:D152"/>
    <mergeCell ref="D167:D168"/>
    <mergeCell ref="C169:C170"/>
    <mergeCell ref="D169:D170"/>
    <mergeCell ref="C171:C172"/>
    <mergeCell ref="D171:D172"/>
    <mergeCell ref="C173:C174"/>
    <mergeCell ref="D173:D174"/>
    <mergeCell ref="C153:C154"/>
    <mergeCell ref="D153:D154"/>
    <mergeCell ref="C161:C162"/>
    <mergeCell ref="D161:D162"/>
    <mergeCell ref="C163:C164"/>
    <mergeCell ref="D163:D164"/>
    <mergeCell ref="C155:C156"/>
    <mergeCell ref="D155:D156"/>
    <mergeCell ref="C157:C158"/>
    <mergeCell ref="D157:D158"/>
    <mergeCell ref="C159:C160"/>
    <mergeCell ref="D159:D160"/>
    <mergeCell ref="A1:J2"/>
    <mergeCell ref="C193:C194"/>
    <mergeCell ref="D193:D194"/>
    <mergeCell ref="C185:C186"/>
    <mergeCell ref="D185:D186"/>
    <mergeCell ref="C187:C188"/>
    <mergeCell ref="D187:D188"/>
    <mergeCell ref="C189:C190"/>
    <mergeCell ref="D189:D190"/>
    <mergeCell ref="C191:C192"/>
    <mergeCell ref="C175:C176"/>
    <mergeCell ref="D175:D176"/>
    <mergeCell ref="D191:D192"/>
    <mergeCell ref="C181:C182"/>
    <mergeCell ref="D181:D182"/>
    <mergeCell ref="C183:C184"/>
    <mergeCell ref="D183:D184"/>
    <mergeCell ref="C177:C178"/>
    <mergeCell ref="D177:D178"/>
    <mergeCell ref="C179:C180"/>
    <mergeCell ref="D179:D180"/>
    <mergeCell ref="C165:C166"/>
    <mergeCell ref="D165:D166"/>
    <mergeCell ref="C167:C168"/>
  </mergeCells>
  <pageMargins left="0.19685039370078738" right="0.19685039370078738" top="0.39370078740157477" bottom="0.39370078740157477" header="0" footer="0"/>
  <pageSetup paperSize="9" scale="10" fitToHeight="0" pageOrder="overThenDown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outlinePr summaryBelow="0" summaryRight="0"/>
    <pageSetUpPr autoPageBreaks="0"/>
  </sheetPr>
  <dimension ref="A1:J400"/>
  <sheetViews>
    <sheetView topLeftCell="A364" workbookViewId="0">
      <selection activeCell="I15" sqref="I15:I16"/>
    </sheetView>
  </sheetViews>
  <sheetFormatPr defaultColWidth="10.6640625" defaultRowHeight="11.25" outlineLevelRow="3" x14ac:dyDescent="0.2"/>
  <cols>
    <col min="1" max="1" width="6" style="1" customWidth="1"/>
    <col min="2" max="2" width="16.33203125" style="1" customWidth="1"/>
    <col min="3" max="3" width="91.1640625" style="1" customWidth="1"/>
    <col min="4" max="4" width="21" style="22" customWidth="1"/>
    <col min="5" max="5" width="10.5" style="22" customWidth="1"/>
    <col min="6" max="6" width="14.5" style="22" customWidth="1"/>
    <col min="7" max="8" width="13.83203125" style="2" hidden="1" customWidth="1"/>
    <col min="9" max="9" width="16.83203125" style="22" customWidth="1"/>
    <col min="10" max="10" width="17" style="1" customWidth="1"/>
    <col min="11" max="16384" width="10.6640625" style="1"/>
  </cols>
  <sheetData>
    <row r="1" spans="1:10" ht="12.75" customHeight="1" x14ac:dyDescent="0.2">
      <c r="A1" s="244" t="s">
        <v>471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0" ht="24" customHeight="1" x14ac:dyDescent="0.2">
      <c r="A2" s="244"/>
      <c r="B2" s="244"/>
      <c r="C2" s="244"/>
      <c r="D2" s="244"/>
      <c r="E2" s="244"/>
      <c r="F2" s="244"/>
      <c r="G2" s="244"/>
      <c r="H2" s="244"/>
      <c r="I2" s="244"/>
      <c r="J2" s="244"/>
    </row>
    <row r="3" spans="1:10" ht="12.75" customHeight="1" outlineLevel="1" x14ac:dyDescent="0.2">
      <c r="A3" s="280" t="s">
        <v>438</v>
      </c>
      <c r="B3" s="283" t="s">
        <v>439</v>
      </c>
      <c r="C3" s="283" t="s">
        <v>0</v>
      </c>
      <c r="D3" s="283" t="s">
        <v>440</v>
      </c>
      <c r="E3" s="283" t="s">
        <v>436</v>
      </c>
      <c r="F3" s="283" t="s">
        <v>437</v>
      </c>
      <c r="G3" s="4"/>
      <c r="H3" s="4"/>
      <c r="I3" s="283" t="s">
        <v>441</v>
      </c>
      <c r="J3" s="276" t="s">
        <v>442</v>
      </c>
    </row>
    <row r="4" spans="1:10" ht="60.75" customHeight="1" outlineLevel="1" x14ac:dyDescent="0.2">
      <c r="A4" s="334"/>
      <c r="B4" s="335"/>
      <c r="C4" s="335"/>
      <c r="D4" s="335"/>
      <c r="E4" s="335" t="s">
        <v>436</v>
      </c>
      <c r="F4" s="335"/>
      <c r="G4" s="5"/>
      <c r="H4" s="5"/>
      <c r="I4" s="335"/>
      <c r="J4" s="336"/>
    </row>
    <row r="5" spans="1:10" ht="12" outlineLevel="2" x14ac:dyDescent="0.2">
      <c r="A5" s="331">
        <v>1</v>
      </c>
      <c r="B5" s="315"/>
      <c r="C5" s="303" t="s">
        <v>1</v>
      </c>
      <c r="D5" s="305" t="s">
        <v>2</v>
      </c>
      <c r="E5" s="309">
        <v>2</v>
      </c>
      <c r="F5" s="311">
        <v>5533.33</v>
      </c>
      <c r="G5" s="7">
        <v>5533.33</v>
      </c>
      <c r="H5" s="8"/>
      <c r="I5" s="324"/>
      <c r="J5" s="325"/>
    </row>
    <row r="6" spans="1:10" ht="12" outlineLevel="2" x14ac:dyDescent="0.2">
      <c r="A6" s="331"/>
      <c r="B6" s="315"/>
      <c r="C6" s="303"/>
      <c r="D6" s="305"/>
      <c r="E6" s="309"/>
      <c r="F6" s="311"/>
      <c r="G6" s="9">
        <v>2</v>
      </c>
      <c r="H6" s="8"/>
      <c r="I6" s="324"/>
      <c r="J6" s="325"/>
    </row>
    <row r="7" spans="1:10" ht="12" outlineLevel="2" x14ac:dyDescent="0.2">
      <c r="A7" s="331">
        <v>2</v>
      </c>
      <c r="B7" s="315"/>
      <c r="C7" s="303" t="s">
        <v>3</v>
      </c>
      <c r="D7" s="305" t="s">
        <v>4</v>
      </c>
      <c r="E7" s="309">
        <v>1</v>
      </c>
      <c r="F7" s="309">
        <v>382.5</v>
      </c>
      <c r="G7" s="10">
        <v>382.5</v>
      </c>
      <c r="H7" s="8"/>
      <c r="I7" s="324"/>
      <c r="J7" s="325"/>
    </row>
    <row r="8" spans="1:10" ht="12" outlineLevel="2" x14ac:dyDescent="0.2">
      <c r="A8" s="331"/>
      <c r="B8" s="315"/>
      <c r="C8" s="303"/>
      <c r="D8" s="305"/>
      <c r="E8" s="309"/>
      <c r="F8" s="309"/>
      <c r="G8" s="9">
        <v>1</v>
      </c>
      <c r="H8" s="8"/>
      <c r="I8" s="324"/>
      <c r="J8" s="325"/>
    </row>
    <row r="9" spans="1:10" ht="12.75" outlineLevel="2" x14ac:dyDescent="0.2">
      <c r="A9" s="331">
        <v>3</v>
      </c>
      <c r="B9" s="315"/>
      <c r="C9" s="303" t="s">
        <v>5</v>
      </c>
      <c r="D9" s="305" t="s">
        <v>6</v>
      </c>
      <c r="E9" s="309">
        <v>1</v>
      </c>
      <c r="F9" s="311">
        <v>17583.330000000002</v>
      </c>
      <c r="G9" s="7">
        <v>17583.330000000002</v>
      </c>
      <c r="H9" s="6">
        <v>8543200000</v>
      </c>
      <c r="I9" s="324">
        <v>8467990001</v>
      </c>
      <c r="J9" s="325"/>
    </row>
    <row r="10" spans="1:10" ht="12" outlineLevel="2" x14ac:dyDescent="0.2">
      <c r="A10" s="331"/>
      <c r="B10" s="315"/>
      <c r="C10" s="303"/>
      <c r="D10" s="305"/>
      <c r="E10" s="309"/>
      <c r="F10" s="311"/>
      <c r="G10" s="9">
        <v>1</v>
      </c>
      <c r="H10" s="11"/>
      <c r="I10" s="324"/>
      <c r="J10" s="325"/>
    </row>
    <row r="11" spans="1:10" ht="12.75" outlineLevel="2" x14ac:dyDescent="0.2">
      <c r="A11" s="331">
        <v>4</v>
      </c>
      <c r="B11" s="315"/>
      <c r="C11" s="303" t="s">
        <v>7</v>
      </c>
      <c r="D11" s="305" t="s">
        <v>8</v>
      </c>
      <c r="E11" s="309">
        <v>1</v>
      </c>
      <c r="F11" s="311">
        <v>4830</v>
      </c>
      <c r="G11" s="7">
        <v>4830</v>
      </c>
      <c r="H11" s="6"/>
      <c r="I11" s="324"/>
      <c r="J11" s="325"/>
    </row>
    <row r="12" spans="1:10" ht="12.75" outlineLevel="2" x14ac:dyDescent="0.2">
      <c r="A12" s="331"/>
      <c r="B12" s="315"/>
      <c r="C12" s="303"/>
      <c r="D12" s="305"/>
      <c r="E12" s="309"/>
      <c r="F12" s="311"/>
      <c r="G12" s="9">
        <v>1</v>
      </c>
      <c r="H12" s="6"/>
      <c r="I12" s="324"/>
      <c r="J12" s="325"/>
    </row>
    <row r="13" spans="1:10" ht="12.75" outlineLevel="2" x14ac:dyDescent="0.2">
      <c r="A13" s="331">
        <v>5</v>
      </c>
      <c r="B13" s="315"/>
      <c r="C13" s="303" t="s">
        <v>9</v>
      </c>
      <c r="D13" s="305" t="s">
        <v>10</v>
      </c>
      <c r="E13" s="309">
        <v>1</v>
      </c>
      <c r="F13" s="311">
        <v>3551.67</v>
      </c>
      <c r="G13" s="7">
        <v>3551.67</v>
      </c>
      <c r="H13" s="6"/>
      <c r="I13" s="324"/>
      <c r="J13" s="325"/>
    </row>
    <row r="14" spans="1:10" ht="12.75" outlineLevel="2" x14ac:dyDescent="0.2">
      <c r="A14" s="331"/>
      <c r="B14" s="315"/>
      <c r="C14" s="303"/>
      <c r="D14" s="305"/>
      <c r="E14" s="309"/>
      <c r="F14" s="311">
        <v>1</v>
      </c>
      <c r="G14" s="9">
        <v>1</v>
      </c>
      <c r="H14" s="6"/>
      <c r="I14" s="324"/>
      <c r="J14" s="325"/>
    </row>
    <row r="15" spans="1:10" ht="12.75" outlineLevel="2" x14ac:dyDescent="0.2">
      <c r="A15" s="331">
        <v>6</v>
      </c>
      <c r="B15" s="315"/>
      <c r="C15" s="303" t="s">
        <v>11</v>
      </c>
      <c r="D15" s="305" t="s">
        <v>12</v>
      </c>
      <c r="E15" s="309">
        <v>1</v>
      </c>
      <c r="F15" s="311">
        <v>3954.17</v>
      </c>
      <c r="G15" s="7">
        <v>3954.17</v>
      </c>
      <c r="H15" s="6"/>
      <c r="I15" s="324"/>
      <c r="J15" s="325"/>
    </row>
    <row r="16" spans="1:10" ht="12" outlineLevel="2" x14ac:dyDescent="0.2">
      <c r="A16" s="331"/>
      <c r="B16" s="315"/>
      <c r="C16" s="303"/>
      <c r="D16" s="305"/>
      <c r="E16" s="309"/>
      <c r="F16" s="311">
        <v>1</v>
      </c>
      <c r="G16" s="9">
        <v>1</v>
      </c>
      <c r="H16" s="8"/>
      <c r="I16" s="324"/>
      <c r="J16" s="325"/>
    </row>
    <row r="17" spans="1:10" ht="12" outlineLevel="2" x14ac:dyDescent="0.2">
      <c r="A17" s="331">
        <v>7</v>
      </c>
      <c r="B17" s="315"/>
      <c r="C17" s="303" t="s">
        <v>13</v>
      </c>
      <c r="D17" s="305" t="s">
        <v>14</v>
      </c>
      <c r="E17" s="309">
        <v>1</v>
      </c>
      <c r="F17" s="311">
        <v>6745.83</v>
      </c>
      <c r="G17" s="7">
        <v>6745.83</v>
      </c>
      <c r="H17" s="8"/>
      <c r="I17" s="324"/>
      <c r="J17" s="325"/>
    </row>
    <row r="18" spans="1:10" ht="12" outlineLevel="2" x14ac:dyDescent="0.2">
      <c r="A18" s="331"/>
      <c r="B18" s="315"/>
      <c r="C18" s="303"/>
      <c r="D18" s="305"/>
      <c r="E18" s="309"/>
      <c r="F18" s="311">
        <v>1</v>
      </c>
      <c r="G18" s="9">
        <v>1</v>
      </c>
      <c r="H18" s="8"/>
      <c r="I18" s="324"/>
      <c r="J18" s="325"/>
    </row>
    <row r="19" spans="1:10" ht="12" outlineLevel="2" x14ac:dyDescent="0.2">
      <c r="A19" s="331">
        <v>8</v>
      </c>
      <c r="B19" s="315"/>
      <c r="C19" s="303" t="s">
        <v>15</v>
      </c>
      <c r="D19" s="305" t="s">
        <v>16</v>
      </c>
      <c r="E19" s="309">
        <v>1</v>
      </c>
      <c r="F19" s="311">
        <v>7754.17</v>
      </c>
      <c r="G19" s="7">
        <v>7754.17</v>
      </c>
      <c r="H19" s="8"/>
      <c r="I19" s="324"/>
      <c r="J19" s="325"/>
    </row>
    <row r="20" spans="1:10" ht="12" outlineLevel="2" x14ac:dyDescent="0.2">
      <c r="A20" s="331"/>
      <c r="B20" s="315"/>
      <c r="C20" s="303"/>
      <c r="D20" s="305"/>
      <c r="E20" s="309"/>
      <c r="F20" s="311">
        <v>1</v>
      </c>
      <c r="G20" s="9">
        <v>1</v>
      </c>
      <c r="H20" s="8"/>
      <c r="I20" s="324"/>
      <c r="J20" s="325"/>
    </row>
    <row r="21" spans="1:10" ht="12" outlineLevel="2" x14ac:dyDescent="0.2">
      <c r="A21" s="331">
        <v>9</v>
      </c>
      <c r="B21" s="315"/>
      <c r="C21" s="303" t="s">
        <v>17</v>
      </c>
      <c r="D21" s="305" t="s">
        <v>18</v>
      </c>
      <c r="E21" s="309">
        <v>1</v>
      </c>
      <c r="F21" s="311">
        <v>4956.67</v>
      </c>
      <c r="G21" s="7">
        <v>4956.67</v>
      </c>
      <c r="H21" s="8"/>
      <c r="I21" s="324"/>
      <c r="J21" s="325"/>
    </row>
    <row r="22" spans="1:10" ht="12" outlineLevel="2" x14ac:dyDescent="0.2">
      <c r="A22" s="331"/>
      <c r="B22" s="315"/>
      <c r="C22" s="303"/>
      <c r="D22" s="305"/>
      <c r="E22" s="309"/>
      <c r="F22" s="311">
        <v>1</v>
      </c>
      <c r="G22" s="9">
        <v>1</v>
      </c>
      <c r="H22" s="8"/>
      <c r="I22" s="324"/>
      <c r="J22" s="325"/>
    </row>
    <row r="23" spans="1:10" ht="12" outlineLevel="2" x14ac:dyDescent="0.2">
      <c r="A23" s="331">
        <v>10</v>
      </c>
      <c r="B23" s="315"/>
      <c r="C23" s="303" t="s">
        <v>19</v>
      </c>
      <c r="D23" s="305" t="s">
        <v>20</v>
      </c>
      <c r="E23" s="309">
        <v>1</v>
      </c>
      <c r="F23" s="311">
        <v>2672.5</v>
      </c>
      <c r="G23" s="7">
        <v>2672.5</v>
      </c>
      <c r="H23" s="8"/>
      <c r="I23" s="324"/>
      <c r="J23" s="325"/>
    </row>
    <row r="24" spans="1:10" ht="12" outlineLevel="2" x14ac:dyDescent="0.2">
      <c r="A24" s="331"/>
      <c r="B24" s="315"/>
      <c r="C24" s="303"/>
      <c r="D24" s="305"/>
      <c r="E24" s="309"/>
      <c r="F24" s="311">
        <v>1</v>
      </c>
      <c r="G24" s="9">
        <v>1</v>
      </c>
      <c r="H24" s="8"/>
      <c r="I24" s="324"/>
      <c r="J24" s="325"/>
    </row>
    <row r="25" spans="1:10" ht="12" outlineLevel="2" x14ac:dyDescent="0.2">
      <c r="A25" s="331">
        <v>11</v>
      </c>
      <c r="B25" s="315"/>
      <c r="C25" s="303" t="s">
        <v>21</v>
      </c>
      <c r="D25" s="305" t="s">
        <v>22</v>
      </c>
      <c r="E25" s="309">
        <v>1</v>
      </c>
      <c r="F25" s="311">
        <v>1032697.27</v>
      </c>
      <c r="G25" s="7">
        <v>1032697.27</v>
      </c>
      <c r="H25" s="8"/>
      <c r="I25" s="324"/>
      <c r="J25" s="325"/>
    </row>
    <row r="26" spans="1:10" ht="12" outlineLevel="2" x14ac:dyDescent="0.2">
      <c r="A26" s="331"/>
      <c r="B26" s="315"/>
      <c r="C26" s="303"/>
      <c r="D26" s="305"/>
      <c r="E26" s="309"/>
      <c r="F26" s="311">
        <v>1</v>
      </c>
      <c r="G26" s="9">
        <v>1</v>
      </c>
      <c r="H26" s="8"/>
      <c r="I26" s="324"/>
      <c r="J26" s="325"/>
    </row>
    <row r="27" spans="1:10" ht="12" outlineLevel="2" x14ac:dyDescent="0.2">
      <c r="A27" s="331">
        <v>12</v>
      </c>
      <c r="B27" s="315"/>
      <c r="C27" s="303" t="s">
        <v>23</v>
      </c>
      <c r="D27" s="305" t="s">
        <v>24</v>
      </c>
      <c r="E27" s="309">
        <v>2</v>
      </c>
      <c r="F27" s="311">
        <v>4733.33</v>
      </c>
      <c r="G27" s="7">
        <v>4733.33</v>
      </c>
      <c r="H27" s="8"/>
      <c r="I27" s="324"/>
      <c r="J27" s="325"/>
    </row>
    <row r="28" spans="1:10" ht="12" outlineLevel="2" x14ac:dyDescent="0.2">
      <c r="A28" s="331"/>
      <c r="B28" s="315"/>
      <c r="C28" s="303"/>
      <c r="D28" s="305"/>
      <c r="E28" s="309"/>
      <c r="F28" s="311">
        <v>1</v>
      </c>
      <c r="G28" s="9">
        <v>2</v>
      </c>
      <c r="H28" s="8"/>
      <c r="I28" s="324"/>
      <c r="J28" s="325"/>
    </row>
    <row r="29" spans="1:10" ht="12" outlineLevel="2" x14ac:dyDescent="0.2">
      <c r="A29" s="331">
        <v>13</v>
      </c>
      <c r="B29" s="315"/>
      <c r="C29" s="303" t="s">
        <v>25</v>
      </c>
      <c r="D29" s="305" t="s">
        <v>26</v>
      </c>
      <c r="E29" s="309">
        <v>1</v>
      </c>
      <c r="F29" s="311">
        <v>5697.5</v>
      </c>
      <c r="G29" s="7">
        <v>5697.5</v>
      </c>
      <c r="H29" s="8"/>
      <c r="I29" s="324"/>
      <c r="J29" s="325"/>
    </row>
    <row r="30" spans="1:10" ht="12" outlineLevel="2" x14ac:dyDescent="0.2">
      <c r="A30" s="331"/>
      <c r="B30" s="315"/>
      <c r="C30" s="303"/>
      <c r="D30" s="305"/>
      <c r="E30" s="309"/>
      <c r="F30" s="311">
        <v>1</v>
      </c>
      <c r="G30" s="9">
        <v>1</v>
      </c>
      <c r="H30" s="8"/>
      <c r="I30" s="324"/>
      <c r="J30" s="325"/>
    </row>
    <row r="31" spans="1:10" ht="12" outlineLevel="2" x14ac:dyDescent="0.2">
      <c r="A31" s="331">
        <v>14</v>
      </c>
      <c r="B31" s="315"/>
      <c r="C31" s="303" t="s">
        <v>27</v>
      </c>
      <c r="D31" s="305" t="s">
        <v>28</v>
      </c>
      <c r="E31" s="309">
        <v>2</v>
      </c>
      <c r="F31" s="311">
        <v>1383.33</v>
      </c>
      <c r="G31" s="7">
        <v>1383.33</v>
      </c>
      <c r="H31" s="8"/>
      <c r="I31" s="324"/>
      <c r="J31" s="325"/>
    </row>
    <row r="32" spans="1:10" ht="12" outlineLevel="2" x14ac:dyDescent="0.2">
      <c r="A32" s="331"/>
      <c r="B32" s="315"/>
      <c r="C32" s="303"/>
      <c r="D32" s="305"/>
      <c r="E32" s="309"/>
      <c r="F32" s="311">
        <v>1</v>
      </c>
      <c r="G32" s="9">
        <v>2</v>
      </c>
      <c r="H32" s="8"/>
      <c r="I32" s="324"/>
      <c r="J32" s="325"/>
    </row>
    <row r="33" spans="1:10" ht="12" outlineLevel="2" x14ac:dyDescent="0.2">
      <c r="A33" s="331">
        <v>15</v>
      </c>
      <c r="B33" s="315"/>
      <c r="C33" s="303" t="s">
        <v>29</v>
      </c>
      <c r="D33" s="305" t="s">
        <v>30</v>
      </c>
      <c r="E33" s="309">
        <v>1</v>
      </c>
      <c r="F33" s="311">
        <v>3791.67</v>
      </c>
      <c r="G33" s="7">
        <v>3791.67</v>
      </c>
      <c r="H33" s="8"/>
      <c r="I33" s="324"/>
      <c r="J33" s="325"/>
    </row>
    <row r="34" spans="1:10" ht="12" outlineLevel="2" x14ac:dyDescent="0.2">
      <c r="A34" s="331"/>
      <c r="B34" s="315"/>
      <c r="C34" s="303"/>
      <c r="D34" s="305"/>
      <c r="E34" s="309"/>
      <c r="F34" s="311">
        <v>1</v>
      </c>
      <c r="G34" s="9">
        <v>1</v>
      </c>
      <c r="H34" s="8"/>
      <c r="I34" s="324"/>
      <c r="J34" s="325"/>
    </row>
    <row r="35" spans="1:10" ht="12" outlineLevel="2" x14ac:dyDescent="0.2">
      <c r="A35" s="331">
        <v>17</v>
      </c>
      <c r="B35" s="315"/>
      <c r="C35" s="303" t="s">
        <v>33</v>
      </c>
      <c r="D35" s="305" t="s">
        <v>34</v>
      </c>
      <c r="E35" s="309">
        <v>1</v>
      </c>
      <c r="F35" s="311">
        <v>26317.5</v>
      </c>
      <c r="G35" s="7">
        <v>26317.5</v>
      </c>
      <c r="H35" s="8"/>
      <c r="I35" s="324"/>
      <c r="J35" s="325"/>
    </row>
    <row r="36" spans="1:10" ht="12" outlineLevel="2" x14ac:dyDescent="0.2">
      <c r="A36" s="331"/>
      <c r="B36" s="315"/>
      <c r="C36" s="303"/>
      <c r="D36" s="305"/>
      <c r="E36" s="309"/>
      <c r="F36" s="311">
        <v>1</v>
      </c>
      <c r="G36" s="9">
        <v>1</v>
      </c>
      <c r="H36" s="8"/>
      <c r="I36" s="324"/>
      <c r="J36" s="325"/>
    </row>
    <row r="37" spans="1:10" ht="12" outlineLevel="2" x14ac:dyDescent="0.2">
      <c r="A37" s="331">
        <v>18</v>
      </c>
      <c r="B37" s="315"/>
      <c r="C37" s="303" t="s">
        <v>35</v>
      </c>
      <c r="D37" s="305" t="s">
        <v>36</v>
      </c>
      <c r="E37" s="309">
        <v>1</v>
      </c>
      <c r="F37" s="311">
        <v>1501.67</v>
      </c>
      <c r="G37" s="7">
        <v>1501.67</v>
      </c>
      <c r="H37" s="8"/>
      <c r="I37" s="324"/>
      <c r="J37" s="325"/>
    </row>
    <row r="38" spans="1:10" ht="12" outlineLevel="2" x14ac:dyDescent="0.2">
      <c r="A38" s="331"/>
      <c r="B38" s="315"/>
      <c r="C38" s="303"/>
      <c r="D38" s="305"/>
      <c r="E38" s="309"/>
      <c r="F38" s="311">
        <v>1</v>
      </c>
      <c r="G38" s="9">
        <v>1</v>
      </c>
      <c r="H38" s="8"/>
      <c r="I38" s="324"/>
      <c r="J38" s="325"/>
    </row>
    <row r="39" spans="1:10" ht="12" outlineLevel="2" x14ac:dyDescent="0.2">
      <c r="A39" s="331">
        <v>19</v>
      </c>
      <c r="B39" s="315"/>
      <c r="C39" s="303" t="s">
        <v>37</v>
      </c>
      <c r="D39" s="305" t="s">
        <v>38</v>
      </c>
      <c r="E39" s="309">
        <v>2</v>
      </c>
      <c r="F39" s="311">
        <v>851.67</v>
      </c>
      <c r="G39" s="10">
        <v>851.67</v>
      </c>
      <c r="H39" s="8"/>
      <c r="I39" s="324"/>
      <c r="J39" s="325"/>
    </row>
    <row r="40" spans="1:10" ht="12" outlineLevel="2" x14ac:dyDescent="0.2">
      <c r="A40" s="331"/>
      <c r="B40" s="315"/>
      <c r="C40" s="303"/>
      <c r="D40" s="305"/>
      <c r="E40" s="309"/>
      <c r="F40" s="311">
        <v>1</v>
      </c>
      <c r="G40" s="9">
        <v>2</v>
      </c>
      <c r="H40" s="8"/>
      <c r="I40" s="324"/>
      <c r="J40" s="325"/>
    </row>
    <row r="41" spans="1:10" ht="12" outlineLevel="2" x14ac:dyDescent="0.2">
      <c r="A41" s="331">
        <v>20</v>
      </c>
      <c r="B41" s="315"/>
      <c r="C41" s="303" t="s">
        <v>39</v>
      </c>
      <c r="D41" s="305" t="s">
        <v>40</v>
      </c>
      <c r="E41" s="309">
        <v>1</v>
      </c>
      <c r="F41" s="311">
        <v>4749.17</v>
      </c>
      <c r="G41" s="7">
        <v>4749.17</v>
      </c>
      <c r="H41" s="8"/>
      <c r="I41" s="324"/>
      <c r="J41" s="325"/>
    </row>
    <row r="42" spans="1:10" ht="12" outlineLevel="2" x14ac:dyDescent="0.2">
      <c r="A42" s="331"/>
      <c r="B42" s="315"/>
      <c r="C42" s="303"/>
      <c r="D42" s="305"/>
      <c r="E42" s="309"/>
      <c r="F42" s="311">
        <v>1</v>
      </c>
      <c r="G42" s="9">
        <v>1</v>
      </c>
      <c r="H42" s="8"/>
      <c r="I42" s="324"/>
      <c r="J42" s="325"/>
    </row>
    <row r="43" spans="1:10" ht="12" outlineLevel="2" x14ac:dyDescent="0.2">
      <c r="A43" s="331">
        <v>22</v>
      </c>
      <c r="B43" s="315"/>
      <c r="C43" s="303" t="s">
        <v>43</v>
      </c>
      <c r="D43" s="305" t="s">
        <v>44</v>
      </c>
      <c r="E43" s="309">
        <v>1</v>
      </c>
      <c r="F43" s="311">
        <v>570.83000000000004</v>
      </c>
      <c r="G43" s="10">
        <v>570.83000000000004</v>
      </c>
      <c r="H43" s="8"/>
      <c r="I43" s="324"/>
      <c r="J43" s="325"/>
    </row>
    <row r="44" spans="1:10" ht="12" outlineLevel="2" x14ac:dyDescent="0.2">
      <c r="A44" s="331"/>
      <c r="B44" s="315"/>
      <c r="C44" s="303"/>
      <c r="D44" s="305"/>
      <c r="E44" s="309"/>
      <c r="F44" s="311">
        <v>1</v>
      </c>
      <c r="G44" s="9">
        <v>1</v>
      </c>
      <c r="H44" s="8"/>
      <c r="I44" s="324"/>
      <c r="J44" s="325"/>
    </row>
    <row r="45" spans="1:10" ht="12" outlineLevel="2" x14ac:dyDescent="0.2">
      <c r="A45" s="331">
        <v>23</v>
      </c>
      <c r="B45" s="315"/>
      <c r="C45" s="303" t="s">
        <v>45</v>
      </c>
      <c r="D45" s="305" t="s">
        <v>46</v>
      </c>
      <c r="E45" s="309">
        <v>10</v>
      </c>
      <c r="F45" s="311">
        <v>683.33</v>
      </c>
      <c r="G45" s="10">
        <v>683.33</v>
      </c>
      <c r="H45" s="8"/>
      <c r="I45" s="324"/>
      <c r="J45" s="325"/>
    </row>
    <row r="46" spans="1:10" ht="12" outlineLevel="2" x14ac:dyDescent="0.2">
      <c r="A46" s="331"/>
      <c r="B46" s="315"/>
      <c r="C46" s="303"/>
      <c r="D46" s="305"/>
      <c r="E46" s="309"/>
      <c r="F46" s="311">
        <v>1</v>
      </c>
      <c r="G46" s="9">
        <v>10</v>
      </c>
      <c r="H46" s="8"/>
      <c r="I46" s="324"/>
      <c r="J46" s="325"/>
    </row>
    <row r="47" spans="1:10" ht="12" outlineLevel="2" x14ac:dyDescent="0.2">
      <c r="A47" s="331">
        <v>24</v>
      </c>
      <c r="B47" s="315"/>
      <c r="C47" s="303" t="s">
        <v>47</v>
      </c>
      <c r="D47" s="305" t="s">
        <v>48</v>
      </c>
      <c r="E47" s="309">
        <v>2</v>
      </c>
      <c r="F47" s="311">
        <v>630</v>
      </c>
      <c r="G47" s="10">
        <v>630</v>
      </c>
      <c r="H47" s="8"/>
      <c r="I47" s="324"/>
      <c r="J47" s="325"/>
    </row>
    <row r="48" spans="1:10" ht="12" outlineLevel="2" x14ac:dyDescent="0.2">
      <c r="A48" s="331"/>
      <c r="B48" s="315"/>
      <c r="C48" s="303"/>
      <c r="D48" s="305"/>
      <c r="E48" s="309"/>
      <c r="F48" s="311">
        <v>1</v>
      </c>
      <c r="G48" s="9">
        <v>2</v>
      </c>
      <c r="H48" s="8"/>
      <c r="I48" s="324"/>
      <c r="J48" s="325"/>
    </row>
    <row r="49" spans="1:10" ht="12" outlineLevel="2" x14ac:dyDescent="0.2">
      <c r="A49" s="331">
        <v>25</v>
      </c>
      <c r="B49" s="315"/>
      <c r="C49" s="303" t="s">
        <v>49</v>
      </c>
      <c r="D49" s="305" t="s">
        <v>50</v>
      </c>
      <c r="E49" s="309">
        <v>1</v>
      </c>
      <c r="F49" s="311">
        <v>169416.67</v>
      </c>
      <c r="G49" s="7">
        <v>169416.67</v>
      </c>
      <c r="H49" s="8"/>
      <c r="I49" s="324">
        <v>8543200000</v>
      </c>
      <c r="J49" s="325"/>
    </row>
    <row r="50" spans="1:10" ht="12" outlineLevel="2" x14ac:dyDescent="0.2">
      <c r="A50" s="331"/>
      <c r="B50" s="315"/>
      <c r="C50" s="303"/>
      <c r="D50" s="305"/>
      <c r="E50" s="309"/>
      <c r="F50" s="311">
        <v>1</v>
      </c>
      <c r="G50" s="9">
        <v>1</v>
      </c>
      <c r="H50" s="8"/>
      <c r="I50" s="324"/>
      <c r="J50" s="325"/>
    </row>
    <row r="51" spans="1:10" ht="12" outlineLevel="2" x14ac:dyDescent="0.2">
      <c r="A51" s="331">
        <v>26</v>
      </c>
      <c r="B51" s="315"/>
      <c r="C51" s="303" t="s">
        <v>51</v>
      </c>
      <c r="D51" s="305" t="s">
        <v>52</v>
      </c>
      <c r="E51" s="309">
        <v>1</v>
      </c>
      <c r="F51" s="311">
        <v>4070</v>
      </c>
      <c r="G51" s="7">
        <v>4070</v>
      </c>
      <c r="H51" s="8"/>
      <c r="I51" s="324"/>
      <c r="J51" s="325"/>
    </row>
    <row r="52" spans="1:10" ht="12" outlineLevel="2" x14ac:dyDescent="0.2">
      <c r="A52" s="331"/>
      <c r="B52" s="315"/>
      <c r="C52" s="303"/>
      <c r="D52" s="305"/>
      <c r="E52" s="309"/>
      <c r="F52" s="311">
        <v>1</v>
      </c>
      <c r="G52" s="9">
        <v>1</v>
      </c>
      <c r="H52" s="8"/>
      <c r="I52" s="324"/>
      <c r="J52" s="325"/>
    </row>
    <row r="53" spans="1:10" ht="12" outlineLevel="2" x14ac:dyDescent="0.2">
      <c r="A53" s="331">
        <v>27</v>
      </c>
      <c r="B53" s="315"/>
      <c r="C53" s="303" t="s">
        <v>53</v>
      </c>
      <c r="D53" s="305" t="s">
        <v>54</v>
      </c>
      <c r="E53" s="309">
        <v>1</v>
      </c>
      <c r="F53" s="311">
        <v>330</v>
      </c>
      <c r="G53" s="10">
        <v>330</v>
      </c>
      <c r="H53" s="8"/>
      <c r="I53" s="324"/>
      <c r="J53" s="325"/>
    </row>
    <row r="54" spans="1:10" ht="12" outlineLevel="2" x14ac:dyDescent="0.2">
      <c r="A54" s="331"/>
      <c r="B54" s="315"/>
      <c r="C54" s="303"/>
      <c r="D54" s="305"/>
      <c r="E54" s="309"/>
      <c r="F54" s="311">
        <v>1</v>
      </c>
      <c r="G54" s="9">
        <v>1</v>
      </c>
      <c r="H54" s="8"/>
      <c r="I54" s="324"/>
      <c r="J54" s="325"/>
    </row>
    <row r="55" spans="1:10" ht="12" outlineLevel="2" x14ac:dyDescent="0.2">
      <c r="A55" s="331">
        <v>28</v>
      </c>
      <c r="B55" s="315"/>
      <c r="C55" s="303" t="s">
        <v>55</v>
      </c>
      <c r="D55" s="305" t="s">
        <v>56</v>
      </c>
      <c r="E55" s="309">
        <v>1</v>
      </c>
      <c r="F55" s="311">
        <v>2783.33</v>
      </c>
      <c r="G55" s="7">
        <v>2783.33</v>
      </c>
      <c r="H55" s="8"/>
      <c r="I55" s="324"/>
      <c r="J55" s="325"/>
    </row>
    <row r="56" spans="1:10" ht="12" outlineLevel="2" x14ac:dyDescent="0.2">
      <c r="A56" s="331"/>
      <c r="B56" s="315"/>
      <c r="C56" s="303"/>
      <c r="D56" s="305"/>
      <c r="E56" s="309"/>
      <c r="F56" s="311">
        <v>1</v>
      </c>
      <c r="G56" s="9">
        <v>1</v>
      </c>
      <c r="H56" s="8"/>
      <c r="I56" s="324"/>
      <c r="J56" s="325"/>
    </row>
    <row r="57" spans="1:10" ht="12" outlineLevel="2" x14ac:dyDescent="0.2">
      <c r="A57" s="331">
        <v>29</v>
      </c>
      <c r="B57" s="315"/>
      <c r="C57" s="303" t="s">
        <v>57</v>
      </c>
      <c r="D57" s="305" t="s">
        <v>58</v>
      </c>
      <c r="E57" s="309">
        <v>1</v>
      </c>
      <c r="F57" s="311">
        <v>370.83</v>
      </c>
      <c r="G57" s="10">
        <v>370.83</v>
      </c>
      <c r="H57" s="8"/>
      <c r="I57" s="324"/>
      <c r="J57" s="325"/>
    </row>
    <row r="58" spans="1:10" ht="12" outlineLevel="2" x14ac:dyDescent="0.2">
      <c r="A58" s="331"/>
      <c r="B58" s="315"/>
      <c r="C58" s="303"/>
      <c r="D58" s="305"/>
      <c r="E58" s="309"/>
      <c r="F58" s="311">
        <v>1</v>
      </c>
      <c r="G58" s="9">
        <v>1</v>
      </c>
      <c r="H58" s="8"/>
      <c r="I58" s="324"/>
      <c r="J58" s="325"/>
    </row>
    <row r="59" spans="1:10" ht="12" outlineLevel="2" x14ac:dyDescent="0.2">
      <c r="A59" s="331">
        <v>30</v>
      </c>
      <c r="B59" s="315"/>
      <c r="C59" s="303" t="s">
        <v>59</v>
      </c>
      <c r="D59" s="305" t="s">
        <v>60</v>
      </c>
      <c r="E59" s="309">
        <v>1</v>
      </c>
      <c r="F59" s="311">
        <v>7155</v>
      </c>
      <c r="G59" s="7">
        <v>7155</v>
      </c>
      <c r="H59" s="8"/>
      <c r="I59" s="324"/>
      <c r="J59" s="325"/>
    </row>
    <row r="60" spans="1:10" ht="12" outlineLevel="2" x14ac:dyDescent="0.2">
      <c r="A60" s="331"/>
      <c r="B60" s="315"/>
      <c r="C60" s="303"/>
      <c r="D60" s="305"/>
      <c r="E60" s="309"/>
      <c r="F60" s="311">
        <v>1</v>
      </c>
      <c r="G60" s="9">
        <v>1</v>
      </c>
      <c r="H60" s="8"/>
      <c r="I60" s="324"/>
      <c r="J60" s="325"/>
    </row>
    <row r="61" spans="1:10" ht="12" outlineLevel="2" x14ac:dyDescent="0.2">
      <c r="A61" s="331">
        <v>31</v>
      </c>
      <c r="B61" s="315"/>
      <c r="C61" s="303" t="s">
        <v>61</v>
      </c>
      <c r="D61" s="305" t="s">
        <v>62</v>
      </c>
      <c r="E61" s="309">
        <v>1</v>
      </c>
      <c r="F61" s="311">
        <v>70000</v>
      </c>
      <c r="G61" s="7">
        <v>70000</v>
      </c>
      <c r="H61" s="8"/>
      <c r="I61" s="324">
        <v>9030310000</v>
      </c>
      <c r="J61" s="325"/>
    </row>
    <row r="62" spans="1:10" ht="12" outlineLevel="2" x14ac:dyDescent="0.2">
      <c r="A62" s="331"/>
      <c r="B62" s="315"/>
      <c r="C62" s="303"/>
      <c r="D62" s="305"/>
      <c r="E62" s="309"/>
      <c r="F62" s="311">
        <v>1</v>
      </c>
      <c r="G62" s="9">
        <v>1</v>
      </c>
      <c r="H62" s="8"/>
      <c r="I62" s="324"/>
      <c r="J62" s="325"/>
    </row>
    <row r="63" spans="1:10" ht="12" outlineLevel="2" x14ac:dyDescent="0.2">
      <c r="A63" s="331">
        <v>34</v>
      </c>
      <c r="B63" s="315"/>
      <c r="C63" s="303" t="s">
        <v>67</v>
      </c>
      <c r="D63" s="305" t="s">
        <v>68</v>
      </c>
      <c r="E63" s="309">
        <v>1</v>
      </c>
      <c r="F63" s="311">
        <v>2186.67</v>
      </c>
      <c r="G63" s="7">
        <v>2186.67</v>
      </c>
      <c r="H63" s="8"/>
      <c r="I63" s="324"/>
      <c r="J63" s="325"/>
    </row>
    <row r="64" spans="1:10" ht="12" outlineLevel="2" x14ac:dyDescent="0.2">
      <c r="A64" s="331"/>
      <c r="B64" s="315"/>
      <c r="C64" s="303"/>
      <c r="D64" s="305"/>
      <c r="E64" s="309"/>
      <c r="F64" s="311">
        <v>1</v>
      </c>
      <c r="G64" s="9">
        <v>1</v>
      </c>
      <c r="H64" s="8"/>
      <c r="I64" s="324"/>
      <c r="J64" s="325"/>
    </row>
    <row r="65" spans="1:10" ht="12" outlineLevel="2" x14ac:dyDescent="0.2">
      <c r="A65" s="331">
        <v>35</v>
      </c>
      <c r="B65" s="315"/>
      <c r="C65" s="303" t="s">
        <v>69</v>
      </c>
      <c r="D65" s="305" t="s">
        <v>70</v>
      </c>
      <c r="E65" s="309">
        <v>4</v>
      </c>
      <c r="F65" s="311">
        <v>380</v>
      </c>
      <c r="G65" s="10">
        <v>380</v>
      </c>
      <c r="H65" s="8"/>
      <c r="I65" s="324"/>
      <c r="J65" s="325"/>
    </row>
    <row r="66" spans="1:10" ht="12" outlineLevel="2" x14ac:dyDescent="0.2">
      <c r="A66" s="331"/>
      <c r="B66" s="315"/>
      <c r="C66" s="303"/>
      <c r="D66" s="305"/>
      <c r="E66" s="309"/>
      <c r="F66" s="311">
        <v>1</v>
      </c>
      <c r="G66" s="9">
        <v>4</v>
      </c>
      <c r="H66" s="8"/>
      <c r="I66" s="324"/>
      <c r="J66" s="325"/>
    </row>
    <row r="67" spans="1:10" ht="12" outlineLevel="2" x14ac:dyDescent="0.2">
      <c r="A67" s="331">
        <v>36</v>
      </c>
      <c r="B67" s="315"/>
      <c r="C67" s="303" t="s">
        <v>69</v>
      </c>
      <c r="D67" s="305" t="s">
        <v>71</v>
      </c>
      <c r="E67" s="309">
        <v>6</v>
      </c>
      <c r="F67" s="311">
        <v>495</v>
      </c>
      <c r="G67" s="10">
        <v>495</v>
      </c>
      <c r="H67" s="8"/>
      <c r="I67" s="324"/>
      <c r="J67" s="325"/>
    </row>
    <row r="68" spans="1:10" ht="12" outlineLevel="2" x14ac:dyDescent="0.2">
      <c r="A68" s="331"/>
      <c r="B68" s="315"/>
      <c r="C68" s="303"/>
      <c r="D68" s="305"/>
      <c r="E68" s="309"/>
      <c r="F68" s="311">
        <v>1</v>
      </c>
      <c r="G68" s="9">
        <v>6</v>
      </c>
      <c r="H68" s="8"/>
      <c r="I68" s="324"/>
      <c r="J68" s="325"/>
    </row>
    <row r="69" spans="1:10" ht="12" outlineLevel="2" x14ac:dyDescent="0.2">
      <c r="A69" s="331">
        <v>37</v>
      </c>
      <c r="B69" s="315"/>
      <c r="C69" s="303" t="s">
        <v>72</v>
      </c>
      <c r="D69" s="305" t="s">
        <v>73</v>
      </c>
      <c r="E69" s="309">
        <v>2</v>
      </c>
      <c r="F69" s="311">
        <v>2781.67</v>
      </c>
      <c r="G69" s="7">
        <v>2781.67</v>
      </c>
      <c r="H69" s="8"/>
      <c r="I69" s="324"/>
      <c r="J69" s="325"/>
    </row>
    <row r="70" spans="1:10" ht="12" outlineLevel="2" x14ac:dyDescent="0.2">
      <c r="A70" s="331"/>
      <c r="B70" s="315"/>
      <c r="C70" s="303"/>
      <c r="D70" s="305"/>
      <c r="E70" s="309"/>
      <c r="F70" s="311">
        <v>1</v>
      </c>
      <c r="G70" s="9">
        <v>2</v>
      </c>
      <c r="H70" s="8"/>
      <c r="I70" s="324"/>
      <c r="J70" s="325"/>
    </row>
    <row r="71" spans="1:10" ht="12" outlineLevel="2" x14ac:dyDescent="0.2">
      <c r="A71" s="331">
        <v>38</v>
      </c>
      <c r="B71" s="315"/>
      <c r="C71" s="303" t="s">
        <v>74</v>
      </c>
      <c r="D71" s="305" t="s">
        <v>75</v>
      </c>
      <c r="E71" s="309">
        <v>1</v>
      </c>
      <c r="F71" s="311">
        <v>1210.83</v>
      </c>
      <c r="G71" s="7">
        <v>1210.83</v>
      </c>
      <c r="H71" s="8"/>
      <c r="I71" s="324"/>
      <c r="J71" s="325"/>
    </row>
    <row r="72" spans="1:10" ht="12" outlineLevel="2" x14ac:dyDescent="0.2">
      <c r="A72" s="331"/>
      <c r="B72" s="315"/>
      <c r="C72" s="303"/>
      <c r="D72" s="305"/>
      <c r="E72" s="309"/>
      <c r="F72" s="311">
        <v>1</v>
      </c>
      <c r="G72" s="9">
        <v>1</v>
      </c>
      <c r="H72" s="8"/>
      <c r="I72" s="324"/>
      <c r="J72" s="325"/>
    </row>
    <row r="73" spans="1:10" ht="12" outlineLevel="2" x14ac:dyDescent="0.2">
      <c r="A73" s="331">
        <v>39</v>
      </c>
      <c r="B73" s="315"/>
      <c r="C73" s="303" t="s">
        <v>76</v>
      </c>
      <c r="D73" s="305" t="s">
        <v>77</v>
      </c>
      <c r="E73" s="309">
        <v>1</v>
      </c>
      <c r="F73" s="311">
        <v>145.83000000000001</v>
      </c>
      <c r="G73" s="10">
        <v>145.83000000000001</v>
      </c>
      <c r="H73" s="8"/>
      <c r="I73" s="324"/>
      <c r="J73" s="325"/>
    </row>
    <row r="74" spans="1:10" ht="12" outlineLevel="2" x14ac:dyDescent="0.2">
      <c r="A74" s="331"/>
      <c r="B74" s="315"/>
      <c r="C74" s="303"/>
      <c r="D74" s="305"/>
      <c r="E74" s="309"/>
      <c r="F74" s="311">
        <v>1</v>
      </c>
      <c r="G74" s="9">
        <v>1</v>
      </c>
      <c r="H74" s="8"/>
      <c r="I74" s="324"/>
      <c r="J74" s="325"/>
    </row>
    <row r="75" spans="1:10" ht="12" outlineLevel="2" x14ac:dyDescent="0.2">
      <c r="A75" s="331">
        <v>40</v>
      </c>
      <c r="B75" s="315"/>
      <c r="C75" s="303" t="s">
        <v>78</v>
      </c>
      <c r="D75" s="305" t="s">
        <v>79</v>
      </c>
      <c r="E75" s="309">
        <v>1</v>
      </c>
      <c r="F75" s="311">
        <v>7035.83</v>
      </c>
      <c r="G75" s="7">
        <v>7035.83</v>
      </c>
      <c r="H75" s="8"/>
      <c r="I75" s="324"/>
      <c r="J75" s="325"/>
    </row>
    <row r="76" spans="1:10" ht="12" outlineLevel="2" x14ac:dyDescent="0.2">
      <c r="A76" s="331"/>
      <c r="B76" s="315"/>
      <c r="C76" s="303"/>
      <c r="D76" s="305"/>
      <c r="E76" s="309"/>
      <c r="F76" s="311">
        <v>1</v>
      </c>
      <c r="G76" s="9">
        <v>1</v>
      </c>
      <c r="H76" s="8"/>
      <c r="I76" s="324"/>
      <c r="J76" s="325"/>
    </row>
    <row r="77" spans="1:10" ht="12" outlineLevel="2" x14ac:dyDescent="0.2">
      <c r="A77" s="331">
        <v>43</v>
      </c>
      <c r="B77" s="315"/>
      <c r="C77" s="303" t="s">
        <v>84</v>
      </c>
      <c r="D77" s="305" t="s">
        <v>85</v>
      </c>
      <c r="E77" s="309">
        <v>1</v>
      </c>
      <c r="F77" s="311">
        <v>2890</v>
      </c>
      <c r="G77" s="7">
        <v>2890</v>
      </c>
      <c r="H77" s="8"/>
      <c r="I77" s="324"/>
      <c r="J77" s="325"/>
    </row>
    <row r="78" spans="1:10" ht="12" outlineLevel="2" x14ac:dyDescent="0.2">
      <c r="A78" s="331"/>
      <c r="B78" s="315"/>
      <c r="C78" s="303"/>
      <c r="D78" s="305"/>
      <c r="E78" s="309"/>
      <c r="F78" s="311">
        <v>1</v>
      </c>
      <c r="G78" s="9">
        <v>1</v>
      </c>
      <c r="H78" s="8"/>
      <c r="I78" s="324"/>
      <c r="J78" s="325"/>
    </row>
    <row r="79" spans="1:10" ht="12" outlineLevel="2" x14ac:dyDescent="0.2">
      <c r="A79" s="331">
        <v>44</v>
      </c>
      <c r="B79" s="315"/>
      <c r="C79" s="303" t="s">
        <v>86</v>
      </c>
      <c r="D79" s="305" t="s">
        <v>87</v>
      </c>
      <c r="E79" s="309">
        <v>1</v>
      </c>
      <c r="F79" s="311">
        <v>685</v>
      </c>
      <c r="G79" s="10">
        <v>685</v>
      </c>
      <c r="H79" s="8"/>
      <c r="I79" s="324"/>
      <c r="J79" s="325"/>
    </row>
    <row r="80" spans="1:10" ht="12" outlineLevel="2" x14ac:dyDescent="0.2">
      <c r="A80" s="331"/>
      <c r="B80" s="315"/>
      <c r="C80" s="303"/>
      <c r="D80" s="305"/>
      <c r="E80" s="309"/>
      <c r="F80" s="311">
        <v>1</v>
      </c>
      <c r="G80" s="9">
        <v>1</v>
      </c>
      <c r="H80" s="8"/>
      <c r="I80" s="324"/>
      <c r="J80" s="325"/>
    </row>
    <row r="81" spans="1:10" ht="12" outlineLevel="2" x14ac:dyDescent="0.2">
      <c r="A81" s="331">
        <v>45</v>
      </c>
      <c r="B81" s="315"/>
      <c r="C81" s="303" t="s">
        <v>88</v>
      </c>
      <c r="D81" s="305" t="s">
        <v>89</v>
      </c>
      <c r="E81" s="309">
        <v>2</v>
      </c>
      <c r="F81" s="311">
        <v>27475</v>
      </c>
      <c r="G81" s="7">
        <v>27475</v>
      </c>
      <c r="H81" s="8"/>
      <c r="I81" s="324">
        <v>9403700008</v>
      </c>
      <c r="J81" s="325"/>
    </row>
    <row r="82" spans="1:10" ht="12" outlineLevel="2" x14ac:dyDescent="0.2">
      <c r="A82" s="331"/>
      <c r="B82" s="315"/>
      <c r="C82" s="303"/>
      <c r="D82" s="305"/>
      <c r="E82" s="309"/>
      <c r="F82" s="311">
        <v>2</v>
      </c>
      <c r="G82" s="9">
        <v>2</v>
      </c>
      <c r="H82" s="8"/>
      <c r="I82" s="324"/>
      <c r="J82" s="325"/>
    </row>
    <row r="83" spans="1:10" ht="12" outlineLevel="2" x14ac:dyDescent="0.2">
      <c r="A83" s="331">
        <v>46</v>
      </c>
      <c r="B83" s="315"/>
      <c r="C83" s="303" t="s">
        <v>90</v>
      </c>
      <c r="D83" s="305" t="s">
        <v>91</v>
      </c>
      <c r="E83" s="309">
        <v>1</v>
      </c>
      <c r="F83" s="311">
        <v>3291.67</v>
      </c>
      <c r="G83" s="7">
        <v>3291.67</v>
      </c>
      <c r="H83" s="8"/>
      <c r="I83" s="324"/>
      <c r="J83" s="325"/>
    </row>
    <row r="84" spans="1:10" ht="12" outlineLevel="2" x14ac:dyDescent="0.2">
      <c r="A84" s="331"/>
      <c r="B84" s="315"/>
      <c r="C84" s="303"/>
      <c r="D84" s="305"/>
      <c r="E84" s="309"/>
      <c r="F84" s="311">
        <v>1</v>
      </c>
      <c r="G84" s="9">
        <v>1</v>
      </c>
      <c r="H84" s="8"/>
      <c r="I84" s="324"/>
      <c r="J84" s="325"/>
    </row>
    <row r="85" spans="1:10" ht="12" outlineLevel="2" x14ac:dyDescent="0.2">
      <c r="A85" s="331">
        <v>47</v>
      </c>
      <c r="B85" s="315"/>
      <c r="C85" s="303" t="s">
        <v>92</v>
      </c>
      <c r="D85" s="305" t="s">
        <v>93</v>
      </c>
      <c r="E85" s="309">
        <v>2</v>
      </c>
      <c r="F85" s="311">
        <v>4660</v>
      </c>
      <c r="G85" s="7">
        <v>4660</v>
      </c>
      <c r="H85" s="8"/>
      <c r="I85" s="324"/>
      <c r="J85" s="325"/>
    </row>
    <row r="86" spans="1:10" ht="12" outlineLevel="2" x14ac:dyDescent="0.2">
      <c r="A86" s="331"/>
      <c r="B86" s="315"/>
      <c r="C86" s="303"/>
      <c r="D86" s="305"/>
      <c r="E86" s="309"/>
      <c r="F86" s="311">
        <v>2</v>
      </c>
      <c r="G86" s="9">
        <v>2</v>
      </c>
      <c r="H86" s="8"/>
      <c r="I86" s="324"/>
      <c r="J86" s="325"/>
    </row>
    <row r="87" spans="1:10" ht="12" outlineLevel="2" x14ac:dyDescent="0.2">
      <c r="A87" s="331">
        <v>48</v>
      </c>
      <c r="B87" s="315"/>
      <c r="C87" s="303" t="s">
        <v>94</v>
      </c>
      <c r="D87" s="305" t="s">
        <v>95</v>
      </c>
      <c r="E87" s="309">
        <v>1</v>
      </c>
      <c r="F87" s="311">
        <v>4645.83</v>
      </c>
      <c r="G87" s="7">
        <v>4645.83</v>
      </c>
      <c r="H87" s="8"/>
      <c r="I87" s="324"/>
      <c r="J87" s="325"/>
    </row>
    <row r="88" spans="1:10" ht="12" outlineLevel="2" x14ac:dyDescent="0.2">
      <c r="A88" s="331"/>
      <c r="B88" s="315"/>
      <c r="C88" s="303"/>
      <c r="D88" s="305"/>
      <c r="E88" s="309"/>
      <c r="F88" s="311">
        <v>1</v>
      </c>
      <c r="G88" s="9">
        <v>1</v>
      </c>
      <c r="H88" s="8"/>
      <c r="I88" s="324"/>
      <c r="J88" s="325"/>
    </row>
    <row r="89" spans="1:10" ht="12" outlineLevel="2" x14ac:dyDescent="0.2">
      <c r="A89" s="331">
        <v>49</v>
      </c>
      <c r="B89" s="315"/>
      <c r="C89" s="303" t="s">
        <v>96</v>
      </c>
      <c r="D89" s="305" t="s">
        <v>97</v>
      </c>
      <c r="E89" s="309">
        <v>1</v>
      </c>
      <c r="F89" s="311">
        <v>2274.17</v>
      </c>
      <c r="G89" s="7">
        <v>2274.17</v>
      </c>
      <c r="H89" s="8"/>
      <c r="I89" s="324"/>
      <c r="J89" s="325"/>
    </row>
    <row r="90" spans="1:10" ht="12" outlineLevel="2" x14ac:dyDescent="0.2">
      <c r="A90" s="331"/>
      <c r="B90" s="315"/>
      <c r="C90" s="303"/>
      <c r="D90" s="305"/>
      <c r="E90" s="309"/>
      <c r="F90" s="311">
        <v>1</v>
      </c>
      <c r="G90" s="9">
        <v>1</v>
      </c>
      <c r="H90" s="8"/>
      <c r="I90" s="324"/>
      <c r="J90" s="325"/>
    </row>
    <row r="91" spans="1:10" ht="12" outlineLevel="2" x14ac:dyDescent="0.2">
      <c r="A91" s="331">
        <v>50</v>
      </c>
      <c r="B91" s="315"/>
      <c r="C91" s="303" t="s">
        <v>98</v>
      </c>
      <c r="D91" s="305" t="s">
        <v>99</v>
      </c>
      <c r="E91" s="309">
        <v>1</v>
      </c>
      <c r="F91" s="311">
        <v>2534.17</v>
      </c>
      <c r="G91" s="7">
        <v>2534.17</v>
      </c>
      <c r="H91" s="8"/>
      <c r="I91" s="324"/>
      <c r="J91" s="325"/>
    </row>
    <row r="92" spans="1:10" ht="12" outlineLevel="2" x14ac:dyDescent="0.2">
      <c r="A92" s="331"/>
      <c r="B92" s="315"/>
      <c r="C92" s="303"/>
      <c r="D92" s="305"/>
      <c r="E92" s="309"/>
      <c r="F92" s="311">
        <v>1</v>
      </c>
      <c r="G92" s="9">
        <v>1</v>
      </c>
      <c r="H92" s="8"/>
      <c r="I92" s="324"/>
      <c r="J92" s="325"/>
    </row>
    <row r="93" spans="1:10" ht="12" outlineLevel="2" x14ac:dyDescent="0.2">
      <c r="A93" s="331">
        <v>51</v>
      </c>
      <c r="B93" s="315"/>
      <c r="C93" s="303" t="s">
        <v>100</v>
      </c>
      <c r="D93" s="305" t="s">
        <v>101</v>
      </c>
      <c r="E93" s="309">
        <v>1</v>
      </c>
      <c r="F93" s="311">
        <v>2892.5</v>
      </c>
      <c r="G93" s="7">
        <v>2892.5</v>
      </c>
      <c r="H93" s="8"/>
      <c r="I93" s="324"/>
      <c r="J93" s="325"/>
    </row>
    <row r="94" spans="1:10" ht="12" outlineLevel="2" x14ac:dyDescent="0.2">
      <c r="A94" s="331"/>
      <c r="B94" s="315"/>
      <c r="C94" s="303"/>
      <c r="D94" s="305"/>
      <c r="E94" s="309"/>
      <c r="F94" s="311">
        <v>1</v>
      </c>
      <c r="G94" s="9">
        <v>1</v>
      </c>
      <c r="H94" s="8"/>
      <c r="I94" s="324"/>
      <c r="J94" s="325"/>
    </row>
    <row r="95" spans="1:10" ht="12" outlineLevel="2" x14ac:dyDescent="0.2">
      <c r="A95" s="331">
        <v>52</v>
      </c>
      <c r="B95" s="315"/>
      <c r="C95" s="303" t="s">
        <v>102</v>
      </c>
      <c r="D95" s="305" t="s">
        <v>103</v>
      </c>
      <c r="E95" s="309">
        <v>4</v>
      </c>
      <c r="F95" s="311">
        <v>473.33</v>
      </c>
      <c r="G95" s="10">
        <v>473.33</v>
      </c>
      <c r="H95" s="8"/>
      <c r="I95" s="324"/>
      <c r="J95" s="325"/>
    </row>
    <row r="96" spans="1:10" ht="12" outlineLevel="2" x14ac:dyDescent="0.2">
      <c r="A96" s="331"/>
      <c r="B96" s="315"/>
      <c r="C96" s="303"/>
      <c r="D96" s="305"/>
      <c r="E96" s="309"/>
      <c r="F96" s="311">
        <v>4</v>
      </c>
      <c r="G96" s="9">
        <v>4</v>
      </c>
      <c r="H96" s="8"/>
      <c r="I96" s="324"/>
      <c r="J96" s="325"/>
    </row>
    <row r="97" spans="1:10" ht="12" outlineLevel="2" x14ac:dyDescent="0.2">
      <c r="A97" s="331">
        <v>53</v>
      </c>
      <c r="B97" s="315"/>
      <c r="C97" s="303" t="s">
        <v>104</v>
      </c>
      <c r="D97" s="305" t="s">
        <v>105</v>
      </c>
      <c r="E97" s="309">
        <v>1</v>
      </c>
      <c r="F97" s="311">
        <v>355</v>
      </c>
      <c r="G97" s="10">
        <v>355</v>
      </c>
      <c r="H97" s="8"/>
      <c r="I97" s="324"/>
      <c r="J97" s="325"/>
    </row>
    <row r="98" spans="1:10" ht="12" outlineLevel="2" x14ac:dyDescent="0.2">
      <c r="A98" s="331"/>
      <c r="B98" s="315"/>
      <c r="C98" s="303"/>
      <c r="D98" s="305"/>
      <c r="E98" s="309"/>
      <c r="F98" s="311">
        <v>1</v>
      </c>
      <c r="G98" s="9">
        <v>1</v>
      </c>
      <c r="H98" s="8"/>
      <c r="I98" s="324"/>
      <c r="J98" s="325"/>
    </row>
    <row r="99" spans="1:10" ht="12" outlineLevel="2" x14ac:dyDescent="0.2">
      <c r="A99" s="331">
        <v>54</v>
      </c>
      <c r="B99" s="315"/>
      <c r="C99" s="303" t="s">
        <v>106</v>
      </c>
      <c r="D99" s="305" t="s">
        <v>107</v>
      </c>
      <c r="E99" s="309">
        <v>10</v>
      </c>
      <c r="F99" s="311">
        <v>625</v>
      </c>
      <c r="G99" s="10">
        <v>625</v>
      </c>
      <c r="H99" s="8"/>
      <c r="I99" s="324"/>
      <c r="J99" s="325"/>
    </row>
    <row r="100" spans="1:10" ht="12" outlineLevel="2" x14ac:dyDescent="0.2">
      <c r="A100" s="331"/>
      <c r="B100" s="315"/>
      <c r="C100" s="303"/>
      <c r="D100" s="305"/>
      <c r="E100" s="309"/>
      <c r="F100" s="311">
        <v>10</v>
      </c>
      <c r="G100" s="9">
        <v>10</v>
      </c>
      <c r="H100" s="8"/>
      <c r="I100" s="324"/>
      <c r="J100" s="325"/>
    </row>
    <row r="101" spans="1:10" ht="12" outlineLevel="2" x14ac:dyDescent="0.2">
      <c r="A101" s="331">
        <v>55</v>
      </c>
      <c r="B101" s="315"/>
      <c r="C101" s="303" t="s">
        <v>108</v>
      </c>
      <c r="D101" s="305" t="s">
        <v>109</v>
      </c>
      <c r="E101" s="309">
        <v>10</v>
      </c>
      <c r="F101" s="311">
        <v>491.67</v>
      </c>
      <c r="G101" s="10">
        <v>491.67</v>
      </c>
      <c r="H101" s="8"/>
      <c r="I101" s="324"/>
      <c r="J101" s="325"/>
    </row>
    <row r="102" spans="1:10" ht="12" outlineLevel="2" x14ac:dyDescent="0.2">
      <c r="A102" s="331"/>
      <c r="B102" s="315"/>
      <c r="C102" s="303"/>
      <c r="D102" s="305"/>
      <c r="E102" s="309"/>
      <c r="F102" s="311">
        <v>10</v>
      </c>
      <c r="G102" s="9">
        <v>10</v>
      </c>
      <c r="H102" s="8"/>
      <c r="I102" s="324"/>
      <c r="J102" s="325"/>
    </row>
    <row r="103" spans="1:10" ht="12" outlineLevel="2" x14ac:dyDescent="0.2">
      <c r="A103" s="331">
        <v>56</v>
      </c>
      <c r="B103" s="315"/>
      <c r="C103" s="303" t="s">
        <v>110</v>
      </c>
      <c r="D103" s="305" t="s">
        <v>111</v>
      </c>
      <c r="E103" s="309">
        <v>10</v>
      </c>
      <c r="F103" s="311">
        <v>491.67</v>
      </c>
      <c r="G103" s="10">
        <v>491.67</v>
      </c>
      <c r="H103" s="8"/>
      <c r="I103" s="324"/>
      <c r="J103" s="325"/>
    </row>
    <row r="104" spans="1:10" ht="12" outlineLevel="2" x14ac:dyDescent="0.2">
      <c r="A104" s="331"/>
      <c r="B104" s="315"/>
      <c r="C104" s="303"/>
      <c r="D104" s="305"/>
      <c r="E104" s="309"/>
      <c r="F104" s="311">
        <v>10</v>
      </c>
      <c r="G104" s="9">
        <v>10</v>
      </c>
      <c r="H104" s="8"/>
      <c r="I104" s="324"/>
      <c r="J104" s="325"/>
    </row>
    <row r="105" spans="1:10" ht="12" outlineLevel="2" x14ac:dyDescent="0.2">
      <c r="A105" s="331">
        <v>57</v>
      </c>
      <c r="B105" s="315"/>
      <c r="C105" s="303" t="s">
        <v>112</v>
      </c>
      <c r="D105" s="305" t="s">
        <v>113</v>
      </c>
      <c r="E105" s="309">
        <v>10</v>
      </c>
      <c r="F105" s="311">
        <v>575</v>
      </c>
      <c r="G105" s="10">
        <v>575</v>
      </c>
      <c r="H105" s="8"/>
      <c r="I105" s="324"/>
      <c r="J105" s="325"/>
    </row>
    <row r="106" spans="1:10" ht="12" outlineLevel="2" x14ac:dyDescent="0.2">
      <c r="A106" s="331"/>
      <c r="B106" s="315"/>
      <c r="C106" s="303"/>
      <c r="D106" s="305"/>
      <c r="E106" s="309"/>
      <c r="F106" s="311">
        <v>10</v>
      </c>
      <c r="G106" s="9">
        <v>10</v>
      </c>
      <c r="H106" s="8"/>
      <c r="I106" s="324"/>
      <c r="J106" s="325"/>
    </row>
    <row r="107" spans="1:10" ht="12" outlineLevel="2" x14ac:dyDescent="0.2">
      <c r="A107" s="331">
        <v>58</v>
      </c>
      <c r="B107" s="315"/>
      <c r="C107" s="303" t="s">
        <v>114</v>
      </c>
      <c r="D107" s="305" t="s">
        <v>115</v>
      </c>
      <c r="E107" s="309">
        <v>3</v>
      </c>
      <c r="F107" s="311">
        <v>380</v>
      </c>
      <c r="G107" s="10">
        <v>380</v>
      </c>
      <c r="H107" s="8"/>
      <c r="I107" s="324"/>
      <c r="J107" s="325"/>
    </row>
    <row r="108" spans="1:10" ht="12" outlineLevel="2" x14ac:dyDescent="0.2">
      <c r="A108" s="331"/>
      <c r="B108" s="315"/>
      <c r="C108" s="303"/>
      <c r="D108" s="305"/>
      <c r="E108" s="309"/>
      <c r="F108" s="311">
        <v>3</v>
      </c>
      <c r="G108" s="9">
        <v>3</v>
      </c>
      <c r="H108" s="8"/>
      <c r="I108" s="324"/>
      <c r="J108" s="325"/>
    </row>
    <row r="109" spans="1:10" ht="12" outlineLevel="2" x14ac:dyDescent="0.2">
      <c r="A109" s="331">
        <v>59</v>
      </c>
      <c r="B109" s="315"/>
      <c r="C109" s="303" t="s">
        <v>116</v>
      </c>
      <c r="D109" s="305" t="s">
        <v>117</v>
      </c>
      <c r="E109" s="309">
        <v>1</v>
      </c>
      <c r="F109" s="311">
        <v>145.83000000000001</v>
      </c>
      <c r="G109" s="10">
        <v>145.83000000000001</v>
      </c>
      <c r="H109" s="8"/>
      <c r="I109" s="324"/>
      <c r="J109" s="325"/>
    </row>
    <row r="110" spans="1:10" ht="12" outlineLevel="2" x14ac:dyDescent="0.2">
      <c r="A110" s="331"/>
      <c r="B110" s="315"/>
      <c r="C110" s="303"/>
      <c r="D110" s="305"/>
      <c r="E110" s="309"/>
      <c r="F110" s="311">
        <v>1</v>
      </c>
      <c r="G110" s="9"/>
      <c r="H110" s="8"/>
      <c r="I110" s="324"/>
      <c r="J110" s="325"/>
    </row>
    <row r="111" spans="1:10" ht="12" outlineLevel="2" x14ac:dyDescent="0.2">
      <c r="A111" s="331">
        <v>60</v>
      </c>
      <c r="B111" s="315"/>
      <c r="C111" s="303" t="s">
        <v>118</v>
      </c>
      <c r="D111" s="305" t="s">
        <v>119</v>
      </c>
      <c r="E111" s="309">
        <f>G112</f>
        <v>4</v>
      </c>
      <c r="F111" s="311">
        <v>300</v>
      </c>
      <c r="G111" s="10">
        <v>300</v>
      </c>
      <c r="H111" s="8"/>
      <c r="I111" s="324"/>
      <c r="J111" s="325"/>
    </row>
    <row r="112" spans="1:10" ht="12" outlineLevel="2" x14ac:dyDescent="0.2">
      <c r="A112" s="331"/>
      <c r="B112" s="315"/>
      <c r="C112" s="303"/>
      <c r="D112" s="305"/>
      <c r="E112" s="309"/>
      <c r="F112" s="311">
        <v>4</v>
      </c>
      <c r="G112" s="9">
        <v>4</v>
      </c>
      <c r="H112" s="8"/>
      <c r="I112" s="324"/>
      <c r="J112" s="325"/>
    </row>
    <row r="113" spans="1:10" ht="12" outlineLevel="2" x14ac:dyDescent="0.2">
      <c r="A113" s="331">
        <v>61</v>
      </c>
      <c r="B113" s="315"/>
      <c r="C113" s="303" t="s">
        <v>120</v>
      </c>
      <c r="D113" s="305" t="s">
        <v>121</v>
      </c>
      <c r="E113" s="309">
        <f>G114</f>
        <v>4</v>
      </c>
      <c r="F113" s="311">
        <v>343.33</v>
      </c>
      <c r="G113" s="10">
        <v>343.33</v>
      </c>
      <c r="H113" s="8"/>
      <c r="I113" s="324"/>
      <c r="J113" s="325"/>
    </row>
    <row r="114" spans="1:10" ht="12" outlineLevel="2" x14ac:dyDescent="0.2">
      <c r="A114" s="331"/>
      <c r="B114" s="315"/>
      <c r="C114" s="303"/>
      <c r="D114" s="305"/>
      <c r="E114" s="309"/>
      <c r="F114" s="311">
        <v>4</v>
      </c>
      <c r="G114" s="9">
        <v>4</v>
      </c>
      <c r="H114" s="8"/>
      <c r="I114" s="324"/>
      <c r="J114" s="325"/>
    </row>
    <row r="115" spans="1:10" ht="12" outlineLevel="2" x14ac:dyDescent="0.2">
      <c r="A115" s="331">
        <v>62</v>
      </c>
      <c r="B115" s="315"/>
      <c r="C115" s="303" t="s">
        <v>122</v>
      </c>
      <c r="D115" s="305" t="s">
        <v>123</v>
      </c>
      <c r="E115" s="309">
        <f>G116</f>
        <v>4</v>
      </c>
      <c r="F115" s="311">
        <v>396.67</v>
      </c>
      <c r="G115" s="10">
        <v>396.67</v>
      </c>
      <c r="H115" s="8"/>
      <c r="I115" s="324"/>
      <c r="J115" s="325"/>
    </row>
    <row r="116" spans="1:10" ht="12" outlineLevel="2" x14ac:dyDescent="0.2">
      <c r="A116" s="331"/>
      <c r="B116" s="315"/>
      <c r="C116" s="303"/>
      <c r="D116" s="305"/>
      <c r="E116" s="309"/>
      <c r="F116" s="311">
        <v>4</v>
      </c>
      <c r="G116" s="9">
        <v>4</v>
      </c>
      <c r="H116" s="8"/>
      <c r="I116" s="324"/>
      <c r="J116" s="325"/>
    </row>
    <row r="117" spans="1:10" ht="12" outlineLevel="2" x14ac:dyDescent="0.2">
      <c r="A117" s="331">
        <v>63</v>
      </c>
      <c r="B117" s="315"/>
      <c r="C117" s="303" t="s">
        <v>124</v>
      </c>
      <c r="D117" s="305" t="s">
        <v>125</v>
      </c>
      <c r="E117" s="309">
        <f>G118</f>
        <v>20</v>
      </c>
      <c r="F117" s="311">
        <v>450</v>
      </c>
      <c r="G117" s="10">
        <v>450</v>
      </c>
      <c r="H117" s="8"/>
      <c r="I117" s="324"/>
      <c r="J117" s="325"/>
    </row>
    <row r="118" spans="1:10" ht="12" outlineLevel="2" x14ac:dyDescent="0.2">
      <c r="A118" s="331"/>
      <c r="B118" s="315"/>
      <c r="C118" s="303"/>
      <c r="D118" s="305"/>
      <c r="E118" s="309"/>
      <c r="F118" s="311">
        <v>20</v>
      </c>
      <c r="G118" s="9">
        <v>20</v>
      </c>
      <c r="H118" s="8"/>
      <c r="I118" s="324"/>
      <c r="J118" s="325"/>
    </row>
    <row r="119" spans="1:10" ht="12" outlineLevel="2" x14ac:dyDescent="0.2">
      <c r="A119" s="331">
        <v>64</v>
      </c>
      <c r="B119" s="315"/>
      <c r="C119" s="303" t="s">
        <v>126</v>
      </c>
      <c r="D119" s="305" t="s">
        <v>127</v>
      </c>
      <c r="E119" s="309">
        <f t="shared" ref="E119:E175" si="0">G120</f>
        <v>1</v>
      </c>
      <c r="F119" s="311">
        <v>33301.67</v>
      </c>
      <c r="G119" s="7">
        <v>33301.67</v>
      </c>
      <c r="H119" s="8"/>
      <c r="I119" s="324">
        <v>8421392009</v>
      </c>
      <c r="J119" s="325"/>
    </row>
    <row r="120" spans="1:10" ht="12" outlineLevel="2" x14ac:dyDescent="0.2">
      <c r="A120" s="331"/>
      <c r="B120" s="315"/>
      <c r="C120" s="303"/>
      <c r="D120" s="305"/>
      <c r="E120" s="309"/>
      <c r="F120" s="311">
        <v>1</v>
      </c>
      <c r="G120" s="9">
        <v>1</v>
      </c>
      <c r="H120" s="8"/>
      <c r="I120" s="324"/>
      <c r="J120" s="325"/>
    </row>
    <row r="121" spans="1:10" ht="12" outlineLevel="2" x14ac:dyDescent="0.2">
      <c r="A121" s="331">
        <v>65</v>
      </c>
      <c r="B121" s="315"/>
      <c r="C121" s="303" t="s">
        <v>128</v>
      </c>
      <c r="D121" s="305" t="s">
        <v>129</v>
      </c>
      <c r="E121" s="309">
        <f t="shared" si="0"/>
        <v>1</v>
      </c>
      <c r="F121" s="311">
        <v>1222.5</v>
      </c>
      <c r="G121" s="7">
        <v>1222.5</v>
      </c>
      <c r="H121" s="8"/>
      <c r="I121" s="324"/>
      <c r="J121" s="325"/>
    </row>
    <row r="122" spans="1:10" ht="12" outlineLevel="2" x14ac:dyDescent="0.2">
      <c r="A122" s="331"/>
      <c r="B122" s="315"/>
      <c r="C122" s="303"/>
      <c r="D122" s="305"/>
      <c r="E122" s="309"/>
      <c r="F122" s="311">
        <v>1</v>
      </c>
      <c r="G122" s="9">
        <v>1</v>
      </c>
      <c r="H122" s="8"/>
      <c r="I122" s="324"/>
      <c r="J122" s="325"/>
    </row>
    <row r="123" spans="1:10" ht="12" outlineLevel="2" x14ac:dyDescent="0.2">
      <c r="A123" s="331">
        <v>66</v>
      </c>
      <c r="B123" s="315"/>
      <c r="C123" s="303" t="s">
        <v>130</v>
      </c>
      <c r="D123" s="305" t="s">
        <v>131</v>
      </c>
      <c r="E123" s="309">
        <f t="shared" si="0"/>
        <v>1</v>
      </c>
      <c r="F123" s="311">
        <v>738.33</v>
      </c>
      <c r="G123" s="10">
        <v>738.33</v>
      </c>
      <c r="H123" s="8"/>
      <c r="I123" s="324"/>
      <c r="J123" s="325"/>
    </row>
    <row r="124" spans="1:10" ht="12" outlineLevel="2" x14ac:dyDescent="0.2">
      <c r="A124" s="331"/>
      <c r="B124" s="315"/>
      <c r="C124" s="303"/>
      <c r="D124" s="305"/>
      <c r="E124" s="309"/>
      <c r="F124" s="311">
        <v>1</v>
      </c>
      <c r="G124" s="9">
        <v>1</v>
      </c>
      <c r="H124" s="8"/>
      <c r="I124" s="324"/>
      <c r="J124" s="325"/>
    </row>
    <row r="125" spans="1:10" ht="12" outlineLevel="2" x14ac:dyDescent="0.2">
      <c r="A125" s="331">
        <v>67</v>
      </c>
      <c r="B125" s="315"/>
      <c r="C125" s="303" t="s">
        <v>130</v>
      </c>
      <c r="D125" s="305" t="s">
        <v>132</v>
      </c>
      <c r="E125" s="309">
        <f t="shared" si="0"/>
        <v>5</v>
      </c>
      <c r="F125" s="311">
        <v>3338.33</v>
      </c>
      <c r="G125" s="7">
        <v>3338.33</v>
      </c>
      <c r="H125" s="8"/>
      <c r="I125" s="324"/>
      <c r="J125" s="325"/>
    </row>
    <row r="126" spans="1:10" ht="12" outlineLevel="2" x14ac:dyDescent="0.2">
      <c r="A126" s="331"/>
      <c r="B126" s="315"/>
      <c r="C126" s="303"/>
      <c r="D126" s="305"/>
      <c r="E126" s="309"/>
      <c r="F126" s="311">
        <v>5</v>
      </c>
      <c r="G126" s="9">
        <v>5</v>
      </c>
      <c r="H126" s="8"/>
      <c r="I126" s="324"/>
      <c r="J126" s="325"/>
    </row>
    <row r="127" spans="1:10" ht="12" outlineLevel="2" x14ac:dyDescent="0.2">
      <c r="A127" s="331">
        <v>68</v>
      </c>
      <c r="B127" s="315"/>
      <c r="C127" s="303" t="s">
        <v>133</v>
      </c>
      <c r="D127" s="305" t="s">
        <v>134</v>
      </c>
      <c r="E127" s="309">
        <f t="shared" si="0"/>
        <v>2</v>
      </c>
      <c r="F127" s="311">
        <v>1835</v>
      </c>
      <c r="G127" s="7">
        <v>1835</v>
      </c>
      <c r="H127" s="8"/>
      <c r="I127" s="324"/>
      <c r="J127" s="325"/>
    </row>
    <row r="128" spans="1:10" ht="12" outlineLevel="2" x14ac:dyDescent="0.2">
      <c r="A128" s="331"/>
      <c r="B128" s="315"/>
      <c r="C128" s="303"/>
      <c r="D128" s="305"/>
      <c r="E128" s="309"/>
      <c r="F128" s="311">
        <v>2</v>
      </c>
      <c r="G128" s="9">
        <v>2</v>
      </c>
      <c r="H128" s="8"/>
      <c r="I128" s="324"/>
      <c r="J128" s="325"/>
    </row>
    <row r="129" spans="1:10" ht="12" outlineLevel="2" x14ac:dyDescent="0.2">
      <c r="A129" s="331">
        <v>69</v>
      </c>
      <c r="B129" s="315"/>
      <c r="C129" s="303" t="s">
        <v>135</v>
      </c>
      <c r="D129" s="305" t="s">
        <v>136</v>
      </c>
      <c r="E129" s="309">
        <f t="shared" si="0"/>
        <v>2</v>
      </c>
      <c r="F129" s="311">
        <v>1660</v>
      </c>
      <c r="G129" s="7">
        <v>1660</v>
      </c>
      <c r="H129" s="8"/>
      <c r="I129" s="324"/>
      <c r="J129" s="325"/>
    </row>
    <row r="130" spans="1:10" ht="12" outlineLevel="2" x14ac:dyDescent="0.2">
      <c r="A130" s="331"/>
      <c r="B130" s="315"/>
      <c r="C130" s="303"/>
      <c r="D130" s="305"/>
      <c r="E130" s="309"/>
      <c r="F130" s="311">
        <v>2</v>
      </c>
      <c r="G130" s="9">
        <v>2</v>
      </c>
      <c r="H130" s="8"/>
      <c r="I130" s="324"/>
      <c r="J130" s="325"/>
    </row>
    <row r="131" spans="1:10" ht="12" outlineLevel="2" x14ac:dyDescent="0.2">
      <c r="A131" s="331">
        <v>70</v>
      </c>
      <c r="B131" s="315"/>
      <c r="C131" s="303" t="s">
        <v>137</v>
      </c>
      <c r="D131" s="305" t="s">
        <v>138</v>
      </c>
      <c r="E131" s="309">
        <f t="shared" si="0"/>
        <v>0</v>
      </c>
      <c r="F131" s="311">
        <v>17549.169999999998</v>
      </c>
      <c r="G131" s="8"/>
      <c r="H131" s="7">
        <v>17549.169999999998</v>
      </c>
      <c r="I131" s="324"/>
      <c r="J131" s="325"/>
    </row>
    <row r="132" spans="1:10" ht="12" outlineLevel="2" x14ac:dyDescent="0.2">
      <c r="A132" s="331"/>
      <c r="B132" s="315"/>
      <c r="C132" s="303"/>
      <c r="D132" s="305"/>
      <c r="E132" s="309"/>
      <c r="F132" s="311">
        <v>1</v>
      </c>
      <c r="G132" s="8"/>
      <c r="H132" s="9">
        <v>1</v>
      </c>
      <c r="I132" s="324"/>
      <c r="J132" s="325"/>
    </row>
    <row r="133" spans="1:10" ht="12" outlineLevel="2" x14ac:dyDescent="0.2">
      <c r="A133" s="331">
        <v>71</v>
      </c>
      <c r="B133" s="315"/>
      <c r="C133" s="303" t="s">
        <v>139</v>
      </c>
      <c r="D133" s="305" t="s">
        <v>140</v>
      </c>
      <c r="E133" s="309">
        <f t="shared" si="0"/>
        <v>1</v>
      </c>
      <c r="F133" s="311">
        <v>1037.5</v>
      </c>
      <c r="G133" s="7">
        <v>1037.5</v>
      </c>
      <c r="H133" s="8"/>
      <c r="I133" s="324"/>
      <c r="J133" s="325"/>
    </row>
    <row r="134" spans="1:10" ht="12" outlineLevel="2" x14ac:dyDescent="0.2">
      <c r="A134" s="331"/>
      <c r="B134" s="315"/>
      <c r="C134" s="303"/>
      <c r="D134" s="305"/>
      <c r="E134" s="309"/>
      <c r="F134" s="311">
        <v>1</v>
      </c>
      <c r="G134" s="9">
        <v>1</v>
      </c>
      <c r="H134" s="8"/>
      <c r="I134" s="324"/>
      <c r="J134" s="325"/>
    </row>
    <row r="135" spans="1:10" ht="12" outlineLevel="2" x14ac:dyDescent="0.2">
      <c r="A135" s="331">
        <v>72</v>
      </c>
      <c r="B135" s="315"/>
      <c r="C135" s="303" t="s">
        <v>141</v>
      </c>
      <c r="D135" s="305" t="s">
        <v>142</v>
      </c>
      <c r="E135" s="309">
        <f t="shared" si="0"/>
        <v>1</v>
      </c>
      <c r="F135" s="311">
        <v>3015.83</v>
      </c>
      <c r="G135" s="7">
        <v>3015.83</v>
      </c>
      <c r="H135" s="8"/>
      <c r="I135" s="324"/>
      <c r="J135" s="325"/>
    </row>
    <row r="136" spans="1:10" ht="12" outlineLevel="2" x14ac:dyDescent="0.2">
      <c r="A136" s="331"/>
      <c r="B136" s="315"/>
      <c r="C136" s="303"/>
      <c r="D136" s="305"/>
      <c r="E136" s="309"/>
      <c r="F136" s="311">
        <v>1</v>
      </c>
      <c r="G136" s="9">
        <v>1</v>
      </c>
      <c r="H136" s="8"/>
      <c r="I136" s="324"/>
      <c r="J136" s="325"/>
    </row>
    <row r="137" spans="1:10" ht="12" outlineLevel="2" x14ac:dyDescent="0.2">
      <c r="A137" s="331">
        <v>73</v>
      </c>
      <c r="B137" s="315"/>
      <c r="C137" s="303" t="s">
        <v>143</v>
      </c>
      <c r="D137" s="305" t="s">
        <v>144</v>
      </c>
      <c r="E137" s="309">
        <f t="shared" si="0"/>
        <v>1</v>
      </c>
      <c r="F137" s="311">
        <v>5488.33</v>
      </c>
      <c r="G137" s="7">
        <v>5488.33</v>
      </c>
      <c r="H137" s="8"/>
      <c r="I137" s="324"/>
      <c r="J137" s="325"/>
    </row>
    <row r="138" spans="1:10" ht="12" outlineLevel="2" x14ac:dyDescent="0.2">
      <c r="A138" s="331"/>
      <c r="B138" s="315"/>
      <c r="C138" s="303"/>
      <c r="D138" s="305"/>
      <c r="E138" s="309"/>
      <c r="F138" s="311">
        <v>1</v>
      </c>
      <c r="G138" s="9">
        <v>1</v>
      </c>
      <c r="H138" s="8"/>
      <c r="I138" s="324"/>
      <c r="J138" s="325"/>
    </row>
    <row r="139" spans="1:10" ht="12" outlineLevel="2" x14ac:dyDescent="0.2">
      <c r="A139" s="331">
        <v>74</v>
      </c>
      <c r="B139" s="315"/>
      <c r="C139" s="303" t="s">
        <v>145</v>
      </c>
      <c r="D139" s="305" t="s">
        <v>146</v>
      </c>
      <c r="E139" s="309">
        <f t="shared" si="0"/>
        <v>1</v>
      </c>
      <c r="F139" s="311">
        <v>10600.83</v>
      </c>
      <c r="G139" s="7">
        <v>10600.83</v>
      </c>
      <c r="H139" s="8"/>
      <c r="I139" s="324"/>
      <c r="J139" s="325"/>
    </row>
    <row r="140" spans="1:10" ht="12" outlineLevel="2" x14ac:dyDescent="0.2">
      <c r="A140" s="331"/>
      <c r="B140" s="315"/>
      <c r="C140" s="303"/>
      <c r="D140" s="305"/>
      <c r="E140" s="309"/>
      <c r="F140" s="311">
        <v>1</v>
      </c>
      <c r="G140" s="9">
        <v>1</v>
      </c>
      <c r="H140" s="8"/>
      <c r="I140" s="324"/>
      <c r="J140" s="325"/>
    </row>
    <row r="141" spans="1:10" ht="12" outlineLevel="2" x14ac:dyDescent="0.2">
      <c r="A141" s="331">
        <v>75</v>
      </c>
      <c r="B141" s="315"/>
      <c r="C141" s="303" t="s">
        <v>147</v>
      </c>
      <c r="D141" s="305" t="s">
        <v>148</v>
      </c>
      <c r="E141" s="309">
        <f t="shared" si="0"/>
        <v>1</v>
      </c>
      <c r="F141" s="311">
        <v>234.17</v>
      </c>
      <c r="G141" s="10">
        <v>234.17</v>
      </c>
      <c r="H141" s="8"/>
      <c r="I141" s="324"/>
      <c r="J141" s="325"/>
    </row>
    <row r="142" spans="1:10" ht="12" outlineLevel="2" x14ac:dyDescent="0.2">
      <c r="A142" s="331"/>
      <c r="B142" s="315"/>
      <c r="C142" s="303"/>
      <c r="D142" s="305"/>
      <c r="E142" s="309"/>
      <c r="F142" s="311">
        <v>1</v>
      </c>
      <c r="G142" s="9">
        <v>1</v>
      </c>
      <c r="H142" s="8"/>
      <c r="I142" s="324"/>
      <c r="J142" s="325"/>
    </row>
    <row r="143" spans="1:10" ht="12" outlineLevel="2" x14ac:dyDescent="0.2">
      <c r="A143" s="331">
        <v>76</v>
      </c>
      <c r="B143" s="315"/>
      <c r="C143" s="303" t="s">
        <v>149</v>
      </c>
      <c r="D143" s="305" t="s">
        <v>150</v>
      </c>
      <c r="E143" s="309">
        <f t="shared" si="0"/>
        <v>1</v>
      </c>
      <c r="F143" s="311">
        <v>153.33000000000001</v>
      </c>
      <c r="G143" s="10">
        <v>153.33000000000001</v>
      </c>
      <c r="H143" s="8"/>
      <c r="I143" s="324"/>
      <c r="J143" s="325"/>
    </row>
    <row r="144" spans="1:10" ht="12" outlineLevel="2" x14ac:dyDescent="0.2">
      <c r="A144" s="331"/>
      <c r="B144" s="315"/>
      <c r="C144" s="303"/>
      <c r="D144" s="305"/>
      <c r="E144" s="309"/>
      <c r="F144" s="311">
        <v>1</v>
      </c>
      <c r="G144" s="9">
        <v>1</v>
      </c>
      <c r="H144" s="8"/>
      <c r="I144" s="324"/>
      <c r="J144" s="325"/>
    </row>
    <row r="145" spans="1:10" ht="12" outlineLevel="2" x14ac:dyDescent="0.2">
      <c r="A145" s="331">
        <v>77</v>
      </c>
      <c r="B145" s="315"/>
      <c r="C145" s="303" t="s">
        <v>151</v>
      </c>
      <c r="D145" s="305" t="s">
        <v>152</v>
      </c>
      <c r="E145" s="309">
        <f t="shared" si="0"/>
        <v>1</v>
      </c>
      <c r="F145" s="311">
        <v>741.67</v>
      </c>
      <c r="G145" s="10">
        <v>741.67</v>
      </c>
      <c r="H145" s="8"/>
      <c r="I145" s="324"/>
      <c r="J145" s="325"/>
    </row>
    <row r="146" spans="1:10" ht="12" outlineLevel="2" x14ac:dyDescent="0.2">
      <c r="A146" s="331"/>
      <c r="B146" s="315"/>
      <c r="C146" s="303"/>
      <c r="D146" s="305"/>
      <c r="E146" s="309"/>
      <c r="F146" s="311">
        <v>1</v>
      </c>
      <c r="G146" s="9">
        <v>1</v>
      </c>
      <c r="H146" s="8"/>
      <c r="I146" s="324"/>
      <c r="J146" s="325"/>
    </row>
    <row r="147" spans="1:10" ht="12" outlineLevel="2" x14ac:dyDescent="0.2">
      <c r="A147" s="331">
        <v>78</v>
      </c>
      <c r="B147" s="315"/>
      <c r="C147" s="303" t="s">
        <v>153</v>
      </c>
      <c r="D147" s="305" t="s">
        <v>154</v>
      </c>
      <c r="E147" s="309">
        <f t="shared" si="0"/>
        <v>5</v>
      </c>
      <c r="F147" s="311">
        <v>266.67</v>
      </c>
      <c r="G147" s="10">
        <v>266.67</v>
      </c>
      <c r="H147" s="8"/>
      <c r="I147" s="324"/>
      <c r="J147" s="325"/>
    </row>
    <row r="148" spans="1:10" ht="12" outlineLevel="2" x14ac:dyDescent="0.2">
      <c r="A148" s="331"/>
      <c r="B148" s="315"/>
      <c r="C148" s="303"/>
      <c r="D148" s="305"/>
      <c r="E148" s="309"/>
      <c r="F148" s="311">
        <v>5</v>
      </c>
      <c r="G148" s="9">
        <v>5</v>
      </c>
      <c r="H148" s="8"/>
      <c r="I148" s="324"/>
      <c r="J148" s="325"/>
    </row>
    <row r="149" spans="1:10" ht="12" outlineLevel="2" x14ac:dyDescent="0.2">
      <c r="A149" s="331">
        <v>79</v>
      </c>
      <c r="B149" s="315"/>
      <c r="C149" s="303" t="s">
        <v>155</v>
      </c>
      <c r="D149" s="305" t="s">
        <v>156</v>
      </c>
      <c r="E149" s="309">
        <f t="shared" si="0"/>
        <v>5</v>
      </c>
      <c r="F149" s="311">
        <v>291.67</v>
      </c>
      <c r="G149" s="10">
        <v>291.67</v>
      </c>
      <c r="H149" s="8"/>
      <c r="I149" s="324"/>
      <c r="J149" s="325"/>
    </row>
    <row r="150" spans="1:10" ht="12" outlineLevel="2" x14ac:dyDescent="0.2">
      <c r="A150" s="331"/>
      <c r="B150" s="315"/>
      <c r="C150" s="303"/>
      <c r="D150" s="305"/>
      <c r="E150" s="309"/>
      <c r="F150" s="311">
        <v>5</v>
      </c>
      <c r="G150" s="9">
        <v>5</v>
      </c>
      <c r="H150" s="8"/>
      <c r="I150" s="324"/>
      <c r="J150" s="325"/>
    </row>
    <row r="151" spans="1:10" ht="12" outlineLevel="2" x14ac:dyDescent="0.2">
      <c r="A151" s="331">
        <v>80</v>
      </c>
      <c r="B151" s="315"/>
      <c r="C151" s="303" t="s">
        <v>157</v>
      </c>
      <c r="D151" s="305" t="s">
        <v>158</v>
      </c>
      <c r="E151" s="309">
        <f t="shared" si="0"/>
        <v>5</v>
      </c>
      <c r="F151" s="311">
        <v>183.33</v>
      </c>
      <c r="G151" s="10">
        <v>183.33</v>
      </c>
      <c r="H151" s="8"/>
      <c r="I151" s="324"/>
      <c r="J151" s="325"/>
    </row>
    <row r="152" spans="1:10" ht="12" outlineLevel="2" x14ac:dyDescent="0.2">
      <c r="A152" s="331"/>
      <c r="B152" s="315"/>
      <c r="C152" s="303"/>
      <c r="D152" s="305"/>
      <c r="E152" s="309"/>
      <c r="F152" s="311">
        <v>5</v>
      </c>
      <c r="G152" s="9">
        <v>5</v>
      </c>
      <c r="H152" s="8"/>
      <c r="I152" s="324"/>
      <c r="J152" s="325"/>
    </row>
    <row r="153" spans="1:10" ht="12" outlineLevel="2" x14ac:dyDescent="0.2">
      <c r="A153" s="331">
        <v>81</v>
      </c>
      <c r="B153" s="315"/>
      <c r="C153" s="303" t="s">
        <v>159</v>
      </c>
      <c r="D153" s="305" t="s">
        <v>160</v>
      </c>
      <c r="E153" s="309">
        <f t="shared" si="0"/>
        <v>1</v>
      </c>
      <c r="F153" s="311">
        <v>12050.83</v>
      </c>
      <c r="G153" s="7">
        <v>12050.83</v>
      </c>
      <c r="H153" s="8"/>
      <c r="I153" s="324">
        <v>8207903000</v>
      </c>
      <c r="J153" s="325"/>
    </row>
    <row r="154" spans="1:10" ht="12" outlineLevel="2" x14ac:dyDescent="0.2">
      <c r="A154" s="331"/>
      <c r="B154" s="315"/>
      <c r="C154" s="303"/>
      <c r="D154" s="305"/>
      <c r="E154" s="309"/>
      <c r="F154" s="311">
        <v>1</v>
      </c>
      <c r="G154" s="9">
        <v>1</v>
      </c>
      <c r="H154" s="8"/>
      <c r="I154" s="324"/>
      <c r="J154" s="325"/>
    </row>
    <row r="155" spans="1:10" ht="12" outlineLevel="2" x14ac:dyDescent="0.2">
      <c r="A155" s="331">
        <v>83</v>
      </c>
      <c r="B155" s="315"/>
      <c r="C155" s="303" t="s">
        <v>163</v>
      </c>
      <c r="D155" s="305" t="s">
        <v>164</v>
      </c>
      <c r="E155" s="309">
        <f t="shared" si="0"/>
        <v>1</v>
      </c>
      <c r="F155" s="311">
        <v>1135</v>
      </c>
      <c r="G155" s="7">
        <v>1135</v>
      </c>
      <c r="H155" s="8"/>
      <c r="I155" s="324"/>
      <c r="J155" s="325"/>
    </row>
    <row r="156" spans="1:10" ht="12" outlineLevel="2" x14ac:dyDescent="0.2">
      <c r="A156" s="331"/>
      <c r="B156" s="315"/>
      <c r="C156" s="303"/>
      <c r="D156" s="305"/>
      <c r="E156" s="309"/>
      <c r="F156" s="311">
        <v>1</v>
      </c>
      <c r="G156" s="9">
        <v>1</v>
      </c>
      <c r="H156" s="8"/>
      <c r="I156" s="324"/>
      <c r="J156" s="325"/>
    </row>
    <row r="157" spans="1:10" ht="12" outlineLevel="2" x14ac:dyDescent="0.2">
      <c r="A157" s="331">
        <v>84</v>
      </c>
      <c r="B157" s="315"/>
      <c r="C157" s="303" t="s">
        <v>165</v>
      </c>
      <c r="D157" s="305" t="s">
        <v>166</v>
      </c>
      <c r="E157" s="309">
        <f t="shared" si="0"/>
        <v>2</v>
      </c>
      <c r="F157" s="311">
        <v>5761.67</v>
      </c>
      <c r="G157" s="7">
        <v>5761.67</v>
      </c>
      <c r="H157" s="8"/>
      <c r="I157" s="324"/>
      <c r="J157" s="325"/>
    </row>
    <row r="158" spans="1:10" ht="12" outlineLevel="2" x14ac:dyDescent="0.2">
      <c r="A158" s="331"/>
      <c r="B158" s="315"/>
      <c r="C158" s="303"/>
      <c r="D158" s="305"/>
      <c r="E158" s="309"/>
      <c r="F158" s="311">
        <v>2</v>
      </c>
      <c r="G158" s="9">
        <v>2</v>
      </c>
      <c r="H158" s="8"/>
      <c r="I158" s="324"/>
      <c r="J158" s="325"/>
    </row>
    <row r="159" spans="1:10" ht="12" outlineLevel="2" x14ac:dyDescent="0.2">
      <c r="A159" s="333">
        <v>85</v>
      </c>
      <c r="B159" s="265"/>
      <c r="C159" s="261" t="s">
        <v>167</v>
      </c>
      <c r="D159" s="307" t="s">
        <v>168</v>
      </c>
      <c r="E159" s="263">
        <f t="shared" si="0"/>
        <v>1</v>
      </c>
      <c r="F159" s="264">
        <v>1787996.97</v>
      </c>
      <c r="G159" s="58">
        <v>1787996.97</v>
      </c>
      <c r="H159" s="56"/>
      <c r="I159" s="260"/>
      <c r="J159" s="328"/>
    </row>
    <row r="160" spans="1:10" ht="12" outlineLevel="2" x14ac:dyDescent="0.2">
      <c r="A160" s="333"/>
      <c r="B160" s="265"/>
      <c r="C160" s="261"/>
      <c r="D160" s="307"/>
      <c r="E160" s="263"/>
      <c r="F160" s="264">
        <v>1</v>
      </c>
      <c r="G160" s="57">
        <v>1</v>
      </c>
      <c r="H160" s="56"/>
      <c r="I160" s="260"/>
      <c r="J160" s="328"/>
    </row>
    <row r="161" spans="1:10" ht="12" outlineLevel="2" x14ac:dyDescent="0.2">
      <c r="A161" s="333">
        <v>86</v>
      </c>
      <c r="B161" s="265"/>
      <c r="C161" s="261" t="s">
        <v>169</v>
      </c>
      <c r="D161" s="307" t="s">
        <v>170</v>
      </c>
      <c r="E161" s="263">
        <f t="shared" si="0"/>
        <v>1</v>
      </c>
      <c r="F161" s="264">
        <v>980375.56</v>
      </c>
      <c r="G161" s="58">
        <v>980375.56</v>
      </c>
      <c r="H161" s="56"/>
      <c r="I161" s="260"/>
      <c r="J161" s="328"/>
    </row>
    <row r="162" spans="1:10" ht="12" outlineLevel="2" x14ac:dyDescent="0.2">
      <c r="A162" s="333"/>
      <c r="B162" s="265"/>
      <c r="C162" s="261"/>
      <c r="D162" s="307"/>
      <c r="E162" s="263"/>
      <c r="F162" s="264">
        <v>1</v>
      </c>
      <c r="G162" s="57">
        <v>1</v>
      </c>
      <c r="H162" s="56"/>
      <c r="I162" s="260"/>
      <c r="J162" s="328"/>
    </row>
    <row r="163" spans="1:10" ht="12" outlineLevel="2" x14ac:dyDescent="0.2">
      <c r="A163" s="333">
        <v>87</v>
      </c>
      <c r="B163" s="265"/>
      <c r="C163" s="261" t="s">
        <v>171</v>
      </c>
      <c r="D163" s="307" t="s">
        <v>172</v>
      </c>
      <c r="E163" s="263">
        <f t="shared" si="0"/>
        <v>1</v>
      </c>
      <c r="F163" s="264">
        <v>1534585.93</v>
      </c>
      <c r="G163" s="58">
        <v>1534585.93</v>
      </c>
      <c r="H163" s="56"/>
      <c r="I163" s="260"/>
      <c r="J163" s="328"/>
    </row>
    <row r="164" spans="1:10" ht="12" outlineLevel="2" x14ac:dyDescent="0.2">
      <c r="A164" s="333"/>
      <c r="B164" s="265"/>
      <c r="C164" s="261"/>
      <c r="D164" s="307"/>
      <c r="E164" s="263"/>
      <c r="F164" s="264">
        <v>1</v>
      </c>
      <c r="G164" s="57">
        <v>1</v>
      </c>
      <c r="H164" s="56"/>
      <c r="I164" s="260"/>
      <c r="J164" s="328"/>
    </row>
    <row r="165" spans="1:10" ht="12" outlineLevel="2" x14ac:dyDescent="0.2">
      <c r="A165" s="333">
        <v>88</v>
      </c>
      <c r="B165" s="265"/>
      <c r="C165" s="261" t="s">
        <v>173</v>
      </c>
      <c r="D165" s="307" t="s">
        <v>174</v>
      </c>
      <c r="E165" s="263">
        <f t="shared" si="0"/>
        <v>1</v>
      </c>
      <c r="F165" s="264">
        <v>675865.53</v>
      </c>
      <c r="G165" s="58">
        <v>675865.53</v>
      </c>
      <c r="H165" s="56"/>
      <c r="I165" s="260"/>
      <c r="J165" s="328"/>
    </row>
    <row r="166" spans="1:10" ht="12" outlineLevel="2" x14ac:dyDescent="0.2">
      <c r="A166" s="333"/>
      <c r="B166" s="265"/>
      <c r="C166" s="261"/>
      <c r="D166" s="307"/>
      <c r="E166" s="263"/>
      <c r="F166" s="264">
        <v>1</v>
      </c>
      <c r="G166" s="57">
        <v>1</v>
      </c>
      <c r="H166" s="56"/>
      <c r="I166" s="260"/>
      <c r="J166" s="328"/>
    </row>
    <row r="167" spans="1:10" ht="12" outlineLevel="2" x14ac:dyDescent="0.2">
      <c r="A167" s="333">
        <v>89</v>
      </c>
      <c r="B167" s="265"/>
      <c r="C167" s="261" t="s">
        <v>175</v>
      </c>
      <c r="D167" s="307" t="s">
        <v>176</v>
      </c>
      <c r="E167" s="263">
        <f t="shared" si="0"/>
        <v>1</v>
      </c>
      <c r="F167" s="264">
        <v>643894.1</v>
      </c>
      <c r="G167" s="58">
        <v>643894.1</v>
      </c>
      <c r="H167" s="56"/>
      <c r="I167" s="260"/>
      <c r="J167" s="328"/>
    </row>
    <row r="168" spans="1:10" ht="12" outlineLevel="2" x14ac:dyDescent="0.2">
      <c r="A168" s="333"/>
      <c r="B168" s="265"/>
      <c r="C168" s="261"/>
      <c r="D168" s="307"/>
      <c r="E168" s="263"/>
      <c r="F168" s="264">
        <v>1</v>
      </c>
      <c r="G168" s="57">
        <v>1</v>
      </c>
      <c r="H168" s="56"/>
      <c r="I168" s="260"/>
      <c r="J168" s="328"/>
    </row>
    <row r="169" spans="1:10" ht="12" outlineLevel="2" x14ac:dyDescent="0.2">
      <c r="A169" s="333">
        <v>90</v>
      </c>
      <c r="B169" s="265"/>
      <c r="C169" s="261" t="s">
        <v>177</v>
      </c>
      <c r="D169" s="307" t="s">
        <v>178</v>
      </c>
      <c r="E169" s="263">
        <f t="shared" si="0"/>
        <v>1</v>
      </c>
      <c r="F169" s="264">
        <v>3154347.48</v>
      </c>
      <c r="G169" s="58">
        <v>3154347.48</v>
      </c>
      <c r="H169" s="56"/>
      <c r="I169" s="260"/>
      <c r="J169" s="328"/>
    </row>
    <row r="170" spans="1:10" ht="12" outlineLevel="2" x14ac:dyDescent="0.2">
      <c r="A170" s="333"/>
      <c r="B170" s="265"/>
      <c r="C170" s="261"/>
      <c r="D170" s="307"/>
      <c r="E170" s="263"/>
      <c r="F170" s="264">
        <v>1</v>
      </c>
      <c r="G170" s="57">
        <v>1</v>
      </c>
      <c r="H170" s="56"/>
      <c r="I170" s="260"/>
      <c r="J170" s="328"/>
    </row>
    <row r="171" spans="1:10" ht="12" outlineLevel="2" x14ac:dyDescent="0.2">
      <c r="A171" s="333">
        <v>91</v>
      </c>
      <c r="B171" s="265"/>
      <c r="C171" s="261" t="s">
        <v>179</v>
      </c>
      <c r="D171" s="307" t="s">
        <v>180</v>
      </c>
      <c r="E171" s="263">
        <f t="shared" si="0"/>
        <v>1</v>
      </c>
      <c r="F171" s="264">
        <v>2188942.2599999998</v>
      </c>
      <c r="G171" s="58">
        <v>2188942.2599999998</v>
      </c>
      <c r="H171" s="56"/>
      <c r="I171" s="260"/>
      <c r="J171" s="328"/>
    </row>
    <row r="172" spans="1:10" ht="12" outlineLevel="2" x14ac:dyDescent="0.2">
      <c r="A172" s="333"/>
      <c r="B172" s="265"/>
      <c r="C172" s="261"/>
      <c r="D172" s="307"/>
      <c r="E172" s="263"/>
      <c r="F172" s="264">
        <v>1</v>
      </c>
      <c r="G172" s="57">
        <v>1</v>
      </c>
      <c r="H172" s="56"/>
      <c r="I172" s="260"/>
      <c r="J172" s="328"/>
    </row>
    <row r="173" spans="1:10" ht="12" outlineLevel="2" x14ac:dyDescent="0.2">
      <c r="A173" s="333">
        <v>92</v>
      </c>
      <c r="B173" s="265"/>
      <c r="C173" s="261" t="s">
        <v>181</v>
      </c>
      <c r="D173" s="307" t="s">
        <v>182</v>
      </c>
      <c r="E173" s="263">
        <f t="shared" si="0"/>
        <v>1</v>
      </c>
      <c r="F173" s="264">
        <v>1142433.5900000001</v>
      </c>
      <c r="G173" s="58">
        <v>1142433.5900000001</v>
      </c>
      <c r="H173" s="56"/>
      <c r="I173" s="260"/>
      <c r="J173" s="328"/>
    </row>
    <row r="174" spans="1:10" ht="12" outlineLevel="2" x14ac:dyDescent="0.2">
      <c r="A174" s="333"/>
      <c r="B174" s="265"/>
      <c r="C174" s="261"/>
      <c r="D174" s="307"/>
      <c r="E174" s="263"/>
      <c r="F174" s="264">
        <v>1</v>
      </c>
      <c r="G174" s="57">
        <v>1</v>
      </c>
      <c r="H174" s="56"/>
      <c r="I174" s="260"/>
      <c r="J174" s="328"/>
    </row>
    <row r="175" spans="1:10" ht="12" outlineLevel="2" x14ac:dyDescent="0.2">
      <c r="A175" s="333">
        <v>93</v>
      </c>
      <c r="B175" s="265"/>
      <c r="C175" s="261" t="s">
        <v>183</v>
      </c>
      <c r="D175" s="307" t="s">
        <v>184</v>
      </c>
      <c r="E175" s="263">
        <f t="shared" si="0"/>
        <v>1</v>
      </c>
      <c r="F175" s="264">
        <v>1219475.47</v>
      </c>
      <c r="G175" s="58">
        <v>1219475.47</v>
      </c>
      <c r="H175" s="56"/>
      <c r="I175" s="260"/>
      <c r="J175" s="328"/>
    </row>
    <row r="176" spans="1:10" ht="12" outlineLevel="2" x14ac:dyDescent="0.2">
      <c r="A176" s="333"/>
      <c r="B176" s="265"/>
      <c r="C176" s="261"/>
      <c r="D176" s="307"/>
      <c r="E176" s="263"/>
      <c r="F176" s="264">
        <v>1</v>
      </c>
      <c r="G176" s="57">
        <v>1</v>
      </c>
      <c r="H176" s="56"/>
      <c r="I176" s="260"/>
      <c r="J176" s="328"/>
    </row>
    <row r="177" spans="1:10" ht="12" outlineLevel="2" x14ac:dyDescent="0.2">
      <c r="A177" s="331">
        <v>96</v>
      </c>
      <c r="B177" s="315"/>
      <c r="C177" s="303" t="s">
        <v>189</v>
      </c>
      <c r="D177" s="305" t="s">
        <v>190</v>
      </c>
      <c r="E177" s="309">
        <f t="shared" ref="E177:E235" si="1">G178</f>
        <v>6</v>
      </c>
      <c r="F177" s="311">
        <v>49200</v>
      </c>
      <c r="G177" s="7">
        <v>49200</v>
      </c>
      <c r="H177" s="8"/>
      <c r="I177" s="324"/>
      <c r="J177" s="325"/>
    </row>
    <row r="178" spans="1:10" ht="12" outlineLevel="2" x14ac:dyDescent="0.2">
      <c r="A178" s="331"/>
      <c r="B178" s="315"/>
      <c r="C178" s="303"/>
      <c r="D178" s="305"/>
      <c r="E178" s="309"/>
      <c r="F178" s="311">
        <v>6</v>
      </c>
      <c r="G178" s="9">
        <v>6</v>
      </c>
      <c r="H178" s="8"/>
      <c r="I178" s="324"/>
      <c r="J178" s="325"/>
    </row>
    <row r="179" spans="1:10" ht="12" outlineLevel="2" x14ac:dyDescent="0.2">
      <c r="A179" s="331">
        <v>97</v>
      </c>
      <c r="B179" s="315"/>
      <c r="C179" s="303" t="s">
        <v>191</v>
      </c>
      <c r="D179" s="305" t="s">
        <v>192</v>
      </c>
      <c r="E179" s="309">
        <f t="shared" si="1"/>
        <v>1</v>
      </c>
      <c r="F179" s="311">
        <v>260.83</v>
      </c>
      <c r="G179" s="10">
        <v>260.83</v>
      </c>
      <c r="H179" s="8"/>
      <c r="I179" s="324"/>
      <c r="J179" s="325"/>
    </row>
    <row r="180" spans="1:10" ht="12" outlineLevel="2" x14ac:dyDescent="0.2">
      <c r="A180" s="331"/>
      <c r="B180" s="315"/>
      <c r="C180" s="303"/>
      <c r="D180" s="305"/>
      <c r="E180" s="309"/>
      <c r="F180" s="311">
        <v>1</v>
      </c>
      <c r="G180" s="9">
        <v>1</v>
      </c>
      <c r="H180" s="8"/>
      <c r="I180" s="324"/>
      <c r="J180" s="325"/>
    </row>
    <row r="181" spans="1:10" ht="12" outlineLevel="2" x14ac:dyDescent="0.2">
      <c r="A181" s="331">
        <v>98</v>
      </c>
      <c r="B181" s="315"/>
      <c r="C181" s="303" t="s">
        <v>193</v>
      </c>
      <c r="D181" s="305" t="s">
        <v>194</v>
      </c>
      <c r="E181" s="309">
        <f t="shared" si="1"/>
        <v>2</v>
      </c>
      <c r="F181" s="311">
        <v>10939.15</v>
      </c>
      <c r="G181" s="7">
        <v>10939.15</v>
      </c>
      <c r="H181" s="8"/>
      <c r="I181" s="324"/>
      <c r="J181" s="325"/>
    </row>
    <row r="182" spans="1:10" ht="12" outlineLevel="2" x14ac:dyDescent="0.2">
      <c r="A182" s="331"/>
      <c r="B182" s="315"/>
      <c r="C182" s="303"/>
      <c r="D182" s="305"/>
      <c r="E182" s="309"/>
      <c r="F182" s="311">
        <v>2</v>
      </c>
      <c r="G182" s="9">
        <v>2</v>
      </c>
      <c r="H182" s="8"/>
      <c r="I182" s="324"/>
      <c r="J182" s="325"/>
    </row>
    <row r="183" spans="1:10" ht="12" outlineLevel="2" x14ac:dyDescent="0.2">
      <c r="A183" s="331">
        <v>99</v>
      </c>
      <c r="B183" s="315"/>
      <c r="C183" s="303" t="s">
        <v>195</v>
      </c>
      <c r="D183" s="305" t="s">
        <v>196</v>
      </c>
      <c r="E183" s="309">
        <f t="shared" si="1"/>
        <v>1</v>
      </c>
      <c r="F183" s="311">
        <v>451.67</v>
      </c>
      <c r="G183" s="10">
        <v>451.67</v>
      </c>
      <c r="H183" s="8"/>
      <c r="I183" s="324"/>
      <c r="J183" s="325"/>
    </row>
    <row r="184" spans="1:10" ht="12" outlineLevel="2" x14ac:dyDescent="0.2">
      <c r="A184" s="331"/>
      <c r="B184" s="315"/>
      <c r="C184" s="303"/>
      <c r="D184" s="305"/>
      <c r="E184" s="309"/>
      <c r="F184" s="311">
        <v>1</v>
      </c>
      <c r="G184" s="9">
        <v>1</v>
      </c>
      <c r="H184" s="8"/>
      <c r="I184" s="324"/>
      <c r="J184" s="325"/>
    </row>
    <row r="185" spans="1:10" ht="12" outlineLevel="2" x14ac:dyDescent="0.2">
      <c r="A185" s="331">
        <v>100</v>
      </c>
      <c r="B185" s="315"/>
      <c r="C185" s="303" t="s">
        <v>197</v>
      </c>
      <c r="D185" s="305" t="s">
        <v>198</v>
      </c>
      <c r="E185" s="309">
        <f t="shared" si="1"/>
        <v>0</v>
      </c>
      <c r="F185" s="311">
        <v>461780</v>
      </c>
      <c r="G185" s="8"/>
      <c r="H185" s="7">
        <v>461780</v>
      </c>
      <c r="I185" s="324"/>
      <c r="J185" s="325"/>
    </row>
    <row r="186" spans="1:10" ht="12" outlineLevel="2" x14ac:dyDescent="0.2">
      <c r="A186" s="331"/>
      <c r="B186" s="315"/>
      <c r="C186" s="303"/>
      <c r="D186" s="305"/>
      <c r="E186" s="309"/>
      <c r="F186" s="311">
        <v>1</v>
      </c>
      <c r="G186" s="8"/>
      <c r="H186" s="9">
        <v>1</v>
      </c>
      <c r="I186" s="324"/>
      <c r="J186" s="325"/>
    </row>
    <row r="187" spans="1:10" ht="12" outlineLevel="2" x14ac:dyDescent="0.2">
      <c r="A187" s="331">
        <v>101</v>
      </c>
      <c r="B187" s="315"/>
      <c r="C187" s="303" t="s">
        <v>199</v>
      </c>
      <c r="D187" s="305" t="s">
        <v>200</v>
      </c>
      <c r="E187" s="309">
        <f t="shared" si="1"/>
        <v>1</v>
      </c>
      <c r="F187" s="311">
        <v>139775</v>
      </c>
      <c r="G187" s="7">
        <v>139775</v>
      </c>
      <c r="H187" s="8"/>
      <c r="I187" s="324">
        <v>8414807300</v>
      </c>
      <c r="J187" s="325"/>
    </row>
    <row r="188" spans="1:10" ht="12" outlineLevel="2" x14ac:dyDescent="0.2">
      <c r="A188" s="331"/>
      <c r="B188" s="315"/>
      <c r="C188" s="303"/>
      <c r="D188" s="305"/>
      <c r="E188" s="309"/>
      <c r="F188" s="311">
        <v>1</v>
      </c>
      <c r="G188" s="9">
        <v>1</v>
      </c>
      <c r="H188" s="8"/>
      <c r="I188" s="324"/>
      <c r="J188" s="325"/>
    </row>
    <row r="189" spans="1:10" ht="12" outlineLevel="2" x14ac:dyDescent="0.2">
      <c r="A189" s="331">
        <v>102</v>
      </c>
      <c r="B189" s="315"/>
      <c r="C189" s="303" t="s">
        <v>201</v>
      </c>
      <c r="D189" s="305" t="s">
        <v>202</v>
      </c>
      <c r="E189" s="309">
        <f t="shared" si="1"/>
        <v>1</v>
      </c>
      <c r="F189" s="311">
        <v>680.83</v>
      </c>
      <c r="G189" s="10">
        <v>680.83</v>
      </c>
      <c r="H189" s="8"/>
      <c r="I189" s="324"/>
      <c r="J189" s="325"/>
    </row>
    <row r="190" spans="1:10" ht="12" outlineLevel="2" x14ac:dyDescent="0.2">
      <c r="A190" s="331"/>
      <c r="B190" s="315"/>
      <c r="C190" s="303"/>
      <c r="D190" s="305"/>
      <c r="E190" s="309"/>
      <c r="F190" s="311">
        <v>1</v>
      </c>
      <c r="G190" s="9">
        <v>1</v>
      </c>
      <c r="H190" s="8"/>
      <c r="I190" s="324"/>
      <c r="J190" s="325"/>
    </row>
    <row r="191" spans="1:10" ht="12" outlineLevel="2" x14ac:dyDescent="0.2">
      <c r="A191" s="331">
        <v>103</v>
      </c>
      <c r="B191" s="315"/>
      <c r="C191" s="303" t="s">
        <v>203</v>
      </c>
      <c r="D191" s="305" t="s">
        <v>204</v>
      </c>
      <c r="E191" s="309">
        <f t="shared" si="1"/>
        <v>1</v>
      </c>
      <c r="F191" s="311">
        <v>15000</v>
      </c>
      <c r="G191" s="7">
        <v>15000</v>
      </c>
      <c r="H191" s="8"/>
      <c r="I191" s="324"/>
      <c r="J191" s="325"/>
    </row>
    <row r="192" spans="1:10" ht="12" outlineLevel="2" x14ac:dyDescent="0.2">
      <c r="A192" s="331"/>
      <c r="B192" s="315"/>
      <c r="C192" s="303"/>
      <c r="D192" s="305"/>
      <c r="E192" s="309"/>
      <c r="F192" s="311">
        <v>1</v>
      </c>
      <c r="G192" s="9">
        <v>1</v>
      </c>
      <c r="H192" s="8"/>
      <c r="I192" s="324"/>
      <c r="J192" s="325"/>
    </row>
    <row r="193" spans="1:10" ht="12" outlineLevel="2" x14ac:dyDescent="0.2">
      <c r="A193" s="331">
        <v>104</v>
      </c>
      <c r="B193" s="315"/>
      <c r="C193" s="303" t="s">
        <v>203</v>
      </c>
      <c r="D193" s="305" t="s">
        <v>205</v>
      </c>
      <c r="E193" s="309">
        <f t="shared" si="1"/>
        <v>1</v>
      </c>
      <c r="F193" s="311">
        <v>16000</v>
      </c>
      <c r="G193" s="7">
        <v>16000</v>
      </c>
      <c r="H193" s="8"/>
      <c r="I193" s="324"/>
      <c r="J193" s="325"/>
    </row>
    <row r="194" spans="1:10" ht="12" outlineLevel="2" x14ac:dyDescent="0.2">
      <c r="A194" s="331"/>
      <c r="B194" s="315"/>
      <c r="C194" s="303"/>
      <c r="D194" s="305"/>
      <c r="E194" s="309"/>
      <c r="F194" s="311">
        <v>1</v>
      </c>
      <c r="G194" s="9">
        <v>1</v>
      </c>
      <c r="H194" s="8"/>
      <c r="I194" s="324"/>
      <c r="J194" s="325"/>
    </row>
    <row r="195" spans="1:10" ht="12" outlineLevel="2" x14ac:dyDescent="0.2">
      <c r="A195" s="331">
        <v>105</v>
      </c>
      <c r="B195" s="315"/>
      <c r="C195" s="303" t="s">
        <v>203</v>
      </c>
      <c r="D195" s="305" t="s">
        <v>206</v>
      </c>
      <c r="E195" s="309">
        <f t="shared" si="1"/>
        <v>1</v>
      </c>
      <c r="F195" s="311">
        <v>6800</v>
      </c>
      <c r="G195" s="7">
        <v>6800</v>
      </c>
      <c r="H195" s="8"/>
      <c r="I195" s="324"/>
      <c r="J195" s="325"/>
    </row>
    <row r="196" spans="1:10" ht="12" outlineLevel="2" x14ac:dyDescent="0.2">
      <c r="A196" s="331"/>
      <c r="B196" s="315"/>
      <c r="C196" s="303"/>
      <c r="D196" s="305"/>
      <c r="E196" s="309"/>
      <c r="F196" s="311">
        <v>1</v>
      </c>
      <c r="G196" s="9">
        <v>1</v>
      </c>
      <c r="H196" s="8"/>
      <c r="I196" s="324"/>
      <c r="J196" s="325"/>
    </row>
    <row r="197" spans="1:10" ht="12" outlineLevel="2" x14ac:dyDescent="0.2">
      <c r="A197" s="331">
        <v>106</v>
      </c>
      <c r="B197" s="315"/>
      <c r="C197" s="303" t="s">
        <v>203</v>
      </c>
      <c r="D197" s="305" t="s">
        <v>207</v>
      </c>
      <c r="E197" s="309">
        <f t="shared" si="1"/>
        <v>1</v>
      </c>
      <c r="F197" s="311">
        <v>7550</v>
      </c>
      <c r="G197" s="7">
        <v>7550</v>
      </c>
      <c r="H197" s="8"/>
      <c r="I197" s="324"/>
      <c r="J197" s="325"/>
    </row>
    <row r="198" spans="1:10" ht="12" outlineLevel="2" x14ac:dyDescent="0.2">
      <c r="A198" s="331"/>
      <c r="B198" s="315"/>
      <c r="C198" s="303"/>
      <c r="D198" s="305"/>
      <c r="E198" s="309"/>
      <c r="F198" s="311">
        <v>1</v>
      </c>
      <c r="G198" s="9">
        <v>1</v>
      </c>
      <c r="H198" s="8"/>
      <c r="I198" s="324"/>
      <c r="J198" s="325"/>
    </row>
    <row r="199" spans="1:10" ht="12" outlineLevel="2" x14ac:dyDescent="0.2">
      <c r="A199" s="331">
        <v>107</v>
      </c>
      <c r="B199" s="315"/>
      <c r="C199" s="303" t="s">
        <v>203</v>
      </c>
      <c r="D199" s="305" t="s">
        <v>208</v>
      </c>
      <c r="E199" s="309">
        <f t="shared" si="1"/>
        <v>1</v>
      </c>
      <c r="F199" s="311">
        <v>4950</v>
      </c>
      <c r="G199" s="7">
        <v>4950</v>
      </c>
      <c r="H199" s="8"/>
      <c r="I199" s="324"/>
      <c r="J199" s="325"/>
    </row>
    <row r="200" spans="1:10" ht="12" outlineLevel="2" x14ac:dyDescent="0.2">
      <c r="A200" s="331"/>
      <c r="B200" s="315"/>
      <c r="C200" s="303"/>
      <c r="D200" s="305"/>
      <c r="E200" s="309"/>
      <c r="F200" s="311">
        <v>1</v>
      </c>
      <c r="G200" s="9">
        <v>1</v>
      </c>
      <c r="H200" s="8"/>
      <c r="I200" s="324"/>
      <c r="J200" s="325"/>
    </row>
    <row r="201" spans="1:10" ht="12" outlineLevel="2" x14ac:dyDescent="0.2">
      <c r="A201" s="331">
        <v>110</v>
      </c>
      <c r="B201" s="315"/>
      <c r="C201" s="303" t="s">
        <v>213</v>
      </c>
      <c r="D201" s="305" t="s">
        <v>214</v>
      </c>
      <c r="E201" s="309">
        <f t="shared" si="1"/>
        <v>1</v>
      </c>
      <c r="F201" s="311">
        <v>2817.5</v>
      </c>
      <c r="G201" s="7">
        <v>2817.5</v>
      </c>
      <c r="H201" s="8"/>
      <c r="I201" s="324"/>
      <c r="J201" s="325"/>
    </row>
    <row r="202" spans="1:10" ht="12" outlineLevel="2" x14ac:dyDescent="0.2">
      <c r="A202" s="331"/>
      <c r="B202" s="315"/>
      <c r="C202" s="303"/>
      <c r="D202" s="305"/>
      <c r="E202" s="309"/>
      <c r="F202" s="311">
        <v>1</v>
      </c>
      <c r="G202" s="9">
        <v>1</v>
      </c>
      <c r="H202" s="8"/>
      <c r="I202" s="324"/>
      <c r="J202" s="325"/>
    </row>
    <row r="203" spans="1:10" ht="12" outlineLevel="2" x14ac:dyDescent="0.2">
      <c r="A203" s="331">
        <v>111</v>
      </c>
      <c r="B203" s="315"/>
      <c r="C203" s="303" t="s">
        <v>215</v>
      </c>
      <c r="D203" s="305" t="s">
        <v>216</v>
      </c>
      <c r="E203" s="309">
        <f t="shared" si="1"/>
        <v>3</v>
      </c>
      <c r="F203" s="311">
        <v>167955</v>
      </c>
      <c r="G203" s="7">
        <v>167955</v>
      </c>
      <c r="H203" s="8"/>
      <c r="I203" s="324"/>
      <c r="J203" s="325">
        <v>8992</v>
      </c>
    </row>
    <row r="204" spans="1:10" ht="12" outlineLevel="2" x14ac:dyDescent="0.2">
      <c r="A204" s="331"/>
      <c r="B204" s="315"/>
      <c r="C204" s="303"/>
      <c r="D204" s="305"/>
      <c r="E204" s="309"/>
      <c r="F204" s="311">
        <v>3</v>
      </c>
      <c r="G204" s="9">
        <v>3</v>
      </c>
      <c r="H204" s="8"/>
      <c r="I204" s="324"/>
      <c r="J204" s="325"/>
    </row>
    <row r="205" spans="1:10" ht="12" outlineLevel="2" x14ac:dyDescent="0.2">
      <c r="A205" s="331">
        <v>112</v>
      </c>
      <c r="B205" s="315"/>
      <c r="C205" s="303" t="s">
        <v>217</v>
      </c>
      <c r="D205" s="305" t="s">
        <v>218</v>
      </c>
      <c r="E205" s="309">
        <f t="shared" si="1"/>
        <v>3</v>
      </c>
      <c r="F205" s="311">
        <v>728955</v>
      </c>
      <c r="G205" s="7">
        <v>728955</v>
      </c>
      <c r="H205" s="8"/>
      <c r="I205" s="324"/>
      <c r="J205" s="325">
        <v>697</v>
      </c>
    </row>
    <row r="206" spans="1:10" ht="12" outlineLevel="2" x14ac:dyDescent="0.2">
      <c r="A206" s="331"/>
      <c r="B206" s="315"/>
      <c r="C206" s="303"/>
      <c r="D206" s="305"/>
      <c r="E206" s="309"/>
      <c r="F206" s="311">
        <v>3</v>
      </c>
      <c r="G206" s="9">
        <v>3</v>
      </c>
      <c r="H206" s="8"/>
      <c r="I206" s="324"/>
      <c r="J206" s="325"/>
    </row>
    <row r="207" spans="1:10" ht="12" outlineLevel="2" x14ac:dyDescent="0.2">
      <c r="A207" s="331">
        <v>113</v>
      </c>
      <c r="B207" s="315"/>
      <c r="C207" s="303" t="s">
        <v>219</v>
      </c>
      <c r="D207" s="305" t="s">
        <v>220</v>
      </c>
      <c r="E207" s="309">
        <f t="shared" si="1"/>
        <v>1</v>
      </c>
      <c r="F207" s="311">
        <v>22700</v>
      </c>
      <c r="G207" s="7">
        <v>22700</v>
      </c>
      <c r="H207" s="8"/>
      <c r="I207" s="324"/>
      <c r="J207" s="325">
        <v>1318</v>
      </c>
    </row>
    <row r="208" spans="1:10" ht="12" outlineLevel="2" x14ac:dyDescent="0.2">
      <c r="A208" s="331"/>
      <c r="B208" s="315"/>
      <c r="C208" s="303"/>
      <c r="D208" s="305"/>
      <c r="E208" s="309"/>
      <c r="F208" s="311">
        <v>1</v>
      </c>
      <c r="G208" s="9">
        <v>1</v>
      </c>
      <c r="H208" s="8"/>
      <c r="I208" s="324"/>
      <c r="J208" s="325"/>
    </row>
    <row r="209" spans="1:10" ht="12" outlineLevel="2" x14ac:dyDescent="0.2">
      <c r="A209" s="331">
        <v>114</v>
      </c>
      <c r="B209" s="315"/>
      <c r="C209" s="303" t="s">
        <v>221</v>
      </c>
      <c r="D209" s="305" t="s">
        <v>222</v>
      </c>
      <c r="E209" s="309">
        <f t="shared" si="1"/>
        <v>1</v>
      </c>
      <c r="F209" s="311">
        <v>110500</v>
      </c>
      <c r="G209" s="7">
        <v>110500</v>
      </c>
      <c r="H209" s="8"/>
      <c r="I209" s="324"/>
      <c r="J209" s="325">
        <v>1307</v>
      </c>
    </row>
    <row r="210" spans="1:10" ht="12" outlineLevel="2" x14ac:dyDescent="0.2">
      <c r="A210" s="331"/>
      <c r="B210" s="315"/>
      <c r="C210" s="303"/>
      <c r="D210" s="305"/>
      <c r="E210" s="309"/>
      <c r="F210" s="311">
        <v>1</v>
      </c>
      <c r="G210" s="9">
        <v>1</v>
      </c>
      <c r="H210" s="8"/>
      <c r="I210" s="324"/>
      <c r="J210" s="325"/>
    </row>
    <row r="211" spans="1:10" ht="12" outlineLevel="2" x14ac:dyDescent="0.2">
      <c r="A211" s="331">
        <v>115</v>
      </c>
      <c r="B211" s="315"/>
      <c r="C211" s="303" t="s">
        <v>223</v>
      </c>
      <c r="D211" s="305" t="s">
        <v>224</v>
      </c>
      <c r="E211" s="309">
        <f t="shared" si="1"/>
        <v>6</v>
      </c>
      <c r="F211" s="311">
        <v>450000</v>
      </c>
      <c r="G211" s="7">
        <v>450000</v>
      </c>
      <c r="H211" s="8"/>
      <c r="I211" s="324"/>
      <c r="J211" s="325">
        <v>7806</v>
      </c>
    </row>
    <row r="212" spans="1:10" ht="12" outlineLevel="2" x14ac:dyDescent="0.2">
      <c r="A212" s="331"/>
      <c r="B212" s="315"/>
      <c r="C212" s="303"/>
      <c r="D212" s="305"/>
      <c r="E212" s="309"/>
      <c r="F212" s="311">
        <v>6</v>
      </c>
      <c r="G212" s="9">
        <v>6</v>
      </c>
      <c r="H212" s="8"/>
      <c r="I212" s="324"/>
      <c r="J212" s="325"/>
    </row>
    <row r="213" spans="1:10" ht="12" outlineLevel="2" x14ac:dyDescent="0.2">
      <c r="A213" s="331">
        <v>116</v>
      </c>
      <c r="B213" s="315"/>
      <c r="C213" s="303" t="s">
        <v>225</v>
      </c>
      <c r="D213" s="305" t="s">
        <v>226</v>
      </c>
      <c r="E213" s="309">
        <f t="shared" si="1"/>
        <v>1</v>
      </c>
      <c r="F213" s="311">
        <v>40352</v>
      </c>
      <c r="G213" s="7">
        <v>40352</v>
      </c>
      <c r="H213" s="8"/>
      <c r="I213" s="324"/>
      <c r="J213" s="325"/>
    </row>
    <row r="214" spans="1:10" ht="12" outlineLevel="2" x14ac:dyDescent="0.2">
      <c r="A214" s="331"/>
      <c r="B214" s="315"/>
      <c r="C214" s="303"/>
      <c r="D214" s="305"/>
      <c r="E214" s="309"/>
      <c r="F214" s="311">
        <v>1</v>
      </c>
      <c r="G214" s="9">
        <v>1</v>
      </c>
      <c r="H214" s="8"/>
      <c r="I214" s="324"/>
      <c r="J214" s="325"/>
    </row>
    <row r="215" spans="1:10" ht="12" outlineLevel="2" x14ac:dyDescent="0.2">
      <c r="A215" s="331">
        <v>117</v>
      </c>
      <c r="B215" s="315"/>
      <c r="C215" s="303" t="s">
        <v>227</v>
      </c>
      <c r="D215" s="305" t="s">
        <v>228</v>
      </c>
      <c r="E215" s="309">
        <f t="shared" si="1"/>
        <v>1</v>
      </c>
      <c r="F215" s="311">
        <v>65200</v>
      </c>
      <c r="G215" s="7">
        <v>65200</v>
      </c>
      <c r="H215" s="8"/>
      <c r="I215" s="324"/>
      <c r="J215" s="325">
        <v>1688</v>
      </c>
    </row>
    <row r="216" spans="1:10" ht="12" outlineLevel="2" x14ac:dyDescent="0.2">
      <c r="A216" s="331"/>
      <c r="B216" s="315"/>
      <c r="C216" s="303"/>
      <c r="D216" s="305"/>
      <c r="E216" s="309"/>
      <c r="F216" s="311">
        <v>1</v>
      </c>
      <c r="G216" s="9">
        <v>1</v>
      </c>
      <c r="H216" s="8"/>
      <c r="I216" s="324"/>
      <c r="J216" s="325"/>
    </row>
    <row r="217" spans="1:10" ht="12" outlineLevel="2" x14ac:dyDescent="0.2">
      <c r="A217" s="331">
        <v>118</v>
      </c>
      <c r="B217" s="315"/>
      <c r="C217" s="303" t="s">
        <v>229</v>
      </c>
      <c r="D217" s="305" t="s">
        <v>230</v>
      </c>
      <c r="E217" s="309">
        <f t="shared" si="1"/>
        <v>1</v>
      </c>
      <c r="F217" s="311">
        <v>65200</v>
      </c>
      <c r="G217" s="7">
        <v>65200</v>
      </c>
      <c r="H217" s="8"/>
      <c r="I217" s="324"/>
      <c r="J217" s="325">
        <v>1690</v>
      </c>
    </row>
    <row r="218" spans="1:10" ht="12" outlineLevel="2" x14ac:dyDescent="0.2">
      <c r="A218" s="331"/>
      <c r="B218" s="315"/>
      <c r="C218" s="303"/>
      <c r="D218" s="305"/>
      <c r="E218" s="309"/>
      <c r="F218" s="311">
        <v>1</v>
      </c>
      <c r="G218" s="9">
        <v>1</v>
      </c>
      <c r="H218" s="8"/>
      <c r="I218" s="324"/>
      <c r="J218" s="325"/>
    </row>
    <row r="219" spans="1:10" ht="12" outlineLevel="2" x14ac:dyDescent="0.2">
      <c r="A219" s="331">
        <v>119</v>
      </c>
      <c r="B219" s="315"/>
      <c r="C219" s="303" t="s">
        <v>231</v>
      </c>
      <c r="D219" s="305" t="s">
        <v>232</v>
      </c>
      <c r="E219" s="309">
        <f t="shared" si="1"/>
        <v>1</v>
      </c>
      <c r="F219" s="311">
        <v>9100</v>
      </c>
      <c r="G219" s="7">
        <v>9100</v>
      </c>
      <c r="H219" s="8"/>
      <c r="I219" s="324"/>
      <c r="J219" s="325">
        <v>7406</v>
      </c>
    </row>
    <row r="220" spans="1:10" ht="12" outlineLevel="2" x14ac:dyDescent="0.2">
      <c r="A220" s="331"/>
      <c r="B220" s="315"/>
      <c r="C220" s="303"/>
      <c r="D220" s="305"/>
      <c r="E220" s="309"/>
      <c r="F220" s="311">
        <v>1</v>
      </c>
      <c r="G220" s="9">
        <v>1</v>
      </c>
      <c r="H220" s="8"/>
      <c r="I220" s="324"/>
      <c r="J220" s="325"/>
    </row>
    <row r="221" spans="1:10" ht="12" outlineLevel="2" x14ac:dyDescent="0.2">
      <c r="A221" s="331">
        <v>120</v>
      </c>
      <c r="B221" s="315"/>
      <c r="C221" s="303" t="s">
        <v>233</v>
      </c>
      <c r="D221" s="305" t="s">
        <v>234</v>
      </c>
      <c r="E221" s="309">
        <f t="shared" si="1"/>
        <v>1</v>
      </c>
      <c r="F221" s="311">
        <v>10700</v>
      </c>
      <c r="G221" s="7">
        <v>10700</v>
      </c>
      <c r="H221" s="8"/>
      <c r="I221" s="324"/>
      <c r="J221" s="325">
        <v>5641</v>
      </c>
    </row>
    <row r="222" spans="1:10" ht="12" outlineLevel="2" x14ac:dyDescent="0.2">
      <c r="A222" s="331"/>
      <c r="B222" s="315"/>
      <c r="C222" s="303"/>
      <c r="D222" s="305"/>
      <c r="E222" s="309"/>
      <c r="F222" s="311">
        <v>1</v>
      </c>
      <c r="G222" s="9">
        <v>1</v>
      </c>
      <c r="H222" s="8"/>
      <c r="I222" s="324"/>
      <c r="J222" s="325"/>
    </row>
    <row r="223" spans="1:10" ht="12" outlineLevel="2" x14ac:dyDescent="0.2">
      <c r="A223" s="331">
        <v>121</v>
      </c>
      <c r="B223" s="315"/>
      <c r="C223" s="303" t="s">
        <v>235</v>
      </c>
      <c r="D223" s="305" t="s">
        <v>236</v>
      </c>
      <c r="E223" s="309">
        <f t="shared" si="1"/>
        <v>1</v>
      </c>
      <c r="F223" s="311">
        <v>10700</v>
      </c>
      <c r="G223" s="7">
        <v>10700</v>
      </c>
      <c r="H223" s="8"/>
      <c r="I223" s="324"/>
      <c r="J223" s="325">
        <v>8311</v>
      </c>
    </row>
    <row r="224" spans="1:10" ht="12" outlineLevel="2" x14ac:dyDescent="0.2">
      <c r="A224" s="331"/>
      <c r="B224" s="315"/>
      <c r="C224" s="303"/>
      <c r="D224" s="305"/>
      <c r="E224" s="309"/>
      <c r="F224" s="311">
        <v>1</v>
      </c>
      <c r="G224" s="9">
        <v>1</v>
      </c>
      <c r="H224" s="8"/>
      <c r="I224" s="324"/>
      <c r="J224" s="325"/>
    </row>
    <row r="225" spans="1:10" ht="12" outlineLevel="2" x14ac:dyDescent="0.2">
      <c r="A225" s="331">
        <v>122</v>
      </c>
      <c r="B225" s="315"/>
      <c r="C225" s="303" t="s">
        <v>237</v>
      </c>
      <c r="D225" s="305" t="s">
        <v>238</v>
      </c>
      <c r="E225" s="309">
        <f t="shared" si="1"/>
        <v>1</v>
      </c>
      <c r="F225" s="311">
        <v>7500</v>
      </c>
      <c r="G225" s="7">
        <v>7500</v>
      </c>
      <c r="H225" s="8"/>
      <c r="I225" s="324"/>
      <c r="J225" s="325">
        <v>7317</v>
      </c>
    </row>
    <row r="226" spans="1:10" ht="12" outlineLevel="2" x14ac:dyDescent="0.2">
      <c r="A226" s="331"/>
      <c r="B226" s="315"/>
      <c r="C226" s="303"/>
      <c r="D226" s="305"/>
      <c r="E226" s="309"/>
      <c r="F226" s="311">
        <v>1</v>
      </c>
      <c r="G226" s="9">
        <v>1</v>
      </c>
      <c r="H226" s="8"/>
      <c r="I226" s="324"/>
      <c r="J226" s="325"/>
    </row>
    <row r="227" spans="1:10" ht="12" outlineLevel="2" x14ac:dyDescent="0.2">
      <c r="A227" s="331">
        <v>123</v>
      </c>
      <c r="B227" s="315"/>
      <c r="C227" s="303" t="s">
        <v>239</v>
      </c>
      <c r="D227" s="305" t="s">
        <v>240</v>
      </c>
      <c r="E227" s="309">
        <f t="shared" si="1"/>
        <v>1</v>
      </c>
      <c r="F227" s="311">
        <v>60700</v>
      </c>
      <c r="G227" s="7">
        <v>60700</v>
      </c>
      <c r="H227" s="8"/>
      <c r="I227" s="324"/>
      <c r="J227" s="325">
        <v>5640</v>
      </c>
    </row>
    <row r="228" spans="1:10" ht="12" outlineLevel="2" x14ac:dyDescent="0.2">
      <c r="A228" s="331"/>
      <c r="B228" s="315"/>
      <c r="C228" s="303"/>
      <c r="D228" s="305"/>
      <c r="E228" s="309"/>
      <c r="F228" s="311">
        <v>1</v>
      </c>
      <c r="G228" s="9">
        <v>1</v>
      </c>
      <c r="H228" s="8"/>
      <c r="I228" s="324"/>
      <c r="J228" s="325"/>
    </row>
    <row r="229" spans="1:10" ht="12" outlineLevel="2" x14ac:dyDescent="0.2">
      <c r="A229" s="331">
        <v>124</v>
      </c>
      <c r="B229" s="315"/>
      <c r="C229" s="303" t="s">
        <v>241</v>
      </c>
      <c r="D229" s="305" t="s">
        <v>242</v>
      </c>
      <c r="E229" s="309">
        <f t="shared" si="1"/>
        <v>2</v>
      </c>
      <c r="F229" s="311">
        <v>91600</v>
      </c>
      <c r="G229" s="7">
        <v>91600</v>
      </c>
      <c r="H229" s="8"/>
      <c r="I229" s="324"/>
      <c r="J229" s="325"/>
    </row>
    <row r="230" spans="1:10" ht="12" outlineLevel="2" x14ac:dyDescent="0.2">
      <c r="A230" s="331"/>
      <c r="B230" s="315"/>
      <c r="C230" s="303"/>
      <c r="D230" s="305"/>
      <c r="E230" s="309"/>
      <c r="F230" s="311">
        <v>2</v>
      </c>
      <c r="G230" s="9">
        <v>2</v>
      </c>
      <c r="H230" s="8"/>
      <c r="I230" s="324"/>
      <c r="J230" s="325"/>
    </row>
    <row r="231" spans="1:10" ht="12" outlineLevel="2" x14ac:dyDescent="0.2">
      <c r="A231" s="331">
        <v>125</v>
      </c>
      <c r="B231" s="315"/>
      <c r="C231" s="303" t="s">
        <v>243</v>
      </c>
      <c r="D231" s="305" t="s">
        <v>244</v>
      </c>
      <c r="E231" s="309">
        <f t="shared" si="1"/>
        <v>2</v>
      </c>
      <c r="F231" s="311">
        <v>121200</v>
      </c>
      <c r="G231" s="7">
        <v>121200</v>
      </c>
      <c r="H231" s="8"/>
      <c r="I231" s="324"/>
      <c r="J231" s="325"/>
    </row>
    <row r="232" spans="1:10" ht="12" outlineLevel="2" x14ac:dyDescent="0.2">
      <c r="A232" s="331"/>
      <c r="B232" s="315"/>
      <c r="C232" s="303"/>
      <c r="D232" s="305"/>
      <c r="E232" s="309"/>
      <c r="F232" s="311">
        <v>2</v>
      </c>
      <c r="G232" s="9">
        <v>2</v>
      </c>
      <c r="H232" s="8"/>
      <c r="I232" s="324"/>
      <c r="J232" s="325"/>
    </row>
    <row r="233" spans="1:10" ht="12" outlineLevel="2" x14ac:dyDescent="0.2">
      <c r="A233" s="331">
        <v>126</v>
      </c>
      <c r="B233" s="315"/>
      <c r="C233" s="303" t="s">
        <v>245</v>
      </c>
      <c r="D233" s="305" t="s">
        <v>246</v>
      </c>
      <c r="E233" s="309">
        <f t="shared" si="1"/>
        <v>2</v>
      </c>
      <c r="F233" s="311">
        <v>121200</v>
      </c>
      <c r="G233" s="7">
        <v>121200</v>
      </c>
      <c r="H233" s="8"/>
      <c r="I233" s="324"/>
      <c r="J233" s="325"/>
    </row>
    <row r="234" spans="1:10" ht="12" outlineLevel="2" x14ac:dyDescent="0.2">
      <c r="A234" s="331"/>
      <c r="B234" s="315"/>
      <c r="C234" s="303"/>
      <c r="D234" s="305"/>
      <c r="E234" s="309"/>
      <c r="F234" s="311">
        <v>2</v>
      </c>
      <c r="G234" s="9">
        <v>2</v>
      </c>
      <c r="H234" s="8"/>
      <c r="I234" s="324"/>
      <c r="J234" s="325"/>
    </row>
    <row r="235" spans="1:10" ht="12" outlineLevel="2" x14ac:dyDescent="0.2">
      <c r="A235" s="331">
        <v>127</v>
      </c>
      <c r="B235" s="315"/>
      <c r="C235" s="303" t="s">
        <v>247</v>
      </c>
      <c r="D235" s="305" t="s">
        <v>248</v>
      </c>
      <c r="E235" s="309">
        <f t="shared" si="1"/>
        <v>1</v>
      </c>
      <c r="F235" s="311">
        <v>97700</v>
      </c>
      <c r="G235" s="7">
        <v>97700</v>
      </c>
      <c r="H235" s="8"/>
      <c r="I235" s="324"/>
      <c r="J235" s="325">
        <v>1308</v>
      </c>
    </row>
    <row r="236" spans="1:10" ht="12" outlineLevel="2" x14ac:dyDescent="0.2">
      <c r="A236" s="331"/>
      <c r="B236" s="315"/>
      <c r="C236" s="303"/>
      <c r="D236" s="305"/>
      <c r="E236" s="309"/>
      <c r="F236" s="311">
        <v>1</v>
      </c>
      <c r="G236" s="9">
        <v>1</v>
      </c>
      <c r="H236" s="8"/>
      <c r="I236" s="324"/>
      <c r="J236" s="325"/>
    </row>
    <row r="237" spans="1:10" ht="12" outlineLevel="2" x14ac:dyDescent="0.2">
      <c r="A237" s="331">
        <v>128</v>
      </c>
      <c r="B237" s="315"/>
      <c r="C237" s="303" t="s">
        <v>249</v>
      </c>
      <c r="D237" s="305" t="s">
        <v>250</v>
      </c>
      <c r="E237" s="309">
        <f t="shared" ref="E237:E293" si="2">G238</f>
        <v>1</v>
      </c>
      <c r="F237" s="311">
        <v>53544</v>
      </c>
      <c r="G237" s="7">
        <v>53544</v>
      </c>
      <c r="H237" s="8"/>
      <c r="I237" s="324"/>
      <c r="J237" s="325">
        <v>7315</v>
      </c>
    </row>
    <row r="238" spans="1:10" ht="12" outlineLevel="2" x14ac:dyDescent="0.2">
      <c r="A238" s="331"/>
      <c r="B238" s="315"/>
      <c r="C238" s="303"/>
      <c r="D238" s="305"/>
      <c r="E238" s="309"/>
      <c r="F238" s="311">
        <v>1</v>
      </c>
      <c r="G238" s="9">
        <v>1</v>
      </c>
      <c r="H238" s="8"/>
      <c r="I238" s="324"/>
      <c r="J238" s="325"/>
    </row>
    <row r="239" spans="1:10" ht="12" outlineLevel="2" x14ac:dyDescent="0.2">
      <c r="A239" s="331">
        <v>129</v>
      </c>
      <c r="B239" s="315"/>
      <c r="C239" s="303" t="s">
        <v>251</v>
      </c>
      <c r="D239" s="305" t="s">
        <v>252</v>
      </c>
      <c r="E239" s="309">
        <f t="shared" si="2"/>
        <v>1</v>
      </c>
      <c r="F239" s="311">
        <v>53544</v>
      </c>
      <c r="G239" s="7">
        <v>53544</v>
      </c>
      <c r="H239" s="8"/>
      <c r="I239" s="324"/>
      <c r="J239" s="325">
        <v>7316</v>
      </c>
    </row>
    <row r="240" spans="1:10" ht="12" outlineLevel="2" x14ac:dyDescent="0.2">
      <c r="A240" s="331"/>
      <c r="B240" s="315"/>
      <c r="C240" s="303"/>
      <c r="D240" s="305"/>
      <c r="E240" s="309"/>
      <c r="F240" s="311">
        <v>1</v>
      </c>
      <c r="G240" s="9">
        <v>1</v>
      </c>
      <c r="H240" s="8"/>
      <c r="I240" s="324"/>
      <c r="J240" s="325"/>
    </row>
    <row r="241" spans="1:10" ht="12" outlineLevel="2" x14ac:dyDescent="0.2">
      <c r="A241" s="331">
        <v>130</v>
      </c>
      <c r="B241" s="315"/>
      <c r="C241" s="303" t="s">
        <v>253</v>
      </c>
      <c r="D241" s="305" t="s">
        <v>254</v>
      </c>
      <c r="E241" s="309">
        <f t="shared" si="2"/>
        <v>1</v>
      </c>
      <c r="F241" s="311">
        <v>31719</v>
      </c>
      <c r="G241" s="7">
        <v>31719</v>
      </c>
      <c r="H241" s="8"/>
      <c r="I241" s="324"/>
      <c r="J241" s="325"/>
    </row>
    <row r="242" spans="1:10" ht="12" outlineLevel="2" x14ac:dyDescent="0.2">
      <c r="A242" s="331"/>
      <c r="B242" s="315"/>
      <c r="C242" s="303"/>
      <c r="D242" s="305"/>
      <c r="E242" s="309"/>
      <c r="F242" s="311">
        <v>1</v>
      </c>
      <c r="G242" s="9">
        <v>1</v>
      </c>
      <c r="H242" s="8"/>
      <c r="I242" s="324"/>
      <c r="J242" s="325"/>
    </row>
    <row r="243" spans="1:10" ht="12" outlineLevel="2" x14ac:dyDescent="0.2">
      <c r="A243" s="333">
        <v>131</v>
      </c>
      <c r="B243" s="265"/>
      <c r="C243" s="261" t="s">
        <v>255</v>
      </c>
      <c r="D243" s="307" t="s">
        <v>256</v>
      </c>
      <c r="E243" s="263">
        <f t="shared" si="2"/>
        <v>1</v>
      </c>
      <c r="F243" s="264">
        <v>4714876.32</v>
      </c>
      <c r="G243" s="58">
        <v>4714876.32</v>
      </c>
      <c r="H243" s="56"/>
      <c r="I243" s="260"/>
      <c r="J243" s="328"/>
    </row>
    <row r="244" spans="1:10" ht="12" outlineLevel="2" x14ac:dyDescent="0.2">
      <c r="A244" s="333"/>
      <c r="B244" s="265"/>
      <c r="C244" s="261"/>
      <c r="D244" s="307"/>
      <c r="E244" s="263"/>
      <c r="F244" s="264">
        <v>1</v>
      </c>
      <c r="G244" s="57">
        <v>1</v>
      </c>
      <c r="H244" s="56"/>
      <c r="I244" s="260"/>
      <c r="J244" s="328"/>
    </row>
    <row r="245" spans="1:10" ht="12" outlineLevel="2" x14ac:dyDescent="0.2">
      <c r="A245" s="333">
        <v>132</v>
      </c>
      <c r="B245" s="265"/>
      <c r="C245" s="261" t="s">
        <v>257</v>
      </c>
      <c r="D245" s="307" t="s">
        <v>258</v>
      </c>
      <c r="E245" s="263">
        <f t="shared" si="2"/>
        <v>1</v>
      </c>
      <c r="F245" s="264">
        <v>420785.22</v>
      </c>
      <c r="G245" s="58">
        <v>420785.22</v>
      </c>
      <c r="H245" s="56"/>
      <c r="I245" s="260"/>
      <c r="J245" s="328"/>
    </row>
    <row r="246" spans="1:10" ht="12" outlineLevel="2" x14ac:dyDescent="0.2">
      <c r="A246" s="333"/>
      <c r="B246" s="265"/>
      <c r="C246" s="261"/>
      <c r="D246" s="307"/>
      <c r="E246" s="263"/>
      <c r="F246" s="264">
        <v>1</v>
      </c>
      <c r="G246" s="57">
        <v>1</v>
      </c>
      <c r="H246" s="56"/>
      <c r="I246" s="260"/>
      <c r="J246" s="328"/>
    </row>
    <row r="247" spans="1:10" ht="12" outlineLevel="2" x14ac:dyDescent="0.2">
      <c r="A247" s="333">
        <v>133</v>
      </c>
      <c r="B247" s="265"/>
      <c r="C247" s="261" t="s">
        <v>259</v>
      </c>
      <c r="D247" s="307" t="s">
        <v>260</v>
      </c>
      <c r="E247" s="263">
        <f t="shared" si="2"/>
        <v>1</v>
      </c>
      <c r="F247" s="264">
        <v>359011.37</v>
      </c>
      <c r="G247" s="58">
        <v>359011.37</v>
      </c>
      <c r="H247" s="56"/>
      <c r="I247" s="260"/>
      <c r="J247" s="328"/>
    </row>
    <row r="248" spans="1:10" ht="12" outlineLevel="2" x14ac:dyDescent="0.2">
      <c r="A248" s="333"/>
      <c r="B248" s="265"/>
      <c r="C248" s="261"/>
      <c r="D248" s="307"/>
      <c r="E248" s="263"/>
      <c r="F248" s="264">
        <v>1</v>
      </c>
      <c r="G248" s="57">
        <v>1</v>
      </c>
      <c r="H248" s="56"/>
      <c r="I248" s="260"/>
      <c r="J248" s="328"/>
    </row>
    <row r="249" spans="1:10" ht="12" outlineLevel="2" x14ac:dyDescent="0.2">
      <c r="A249" s="333">
        <v>134</v>
      </c>
      <c r="B249" s="265"/>
      <c r="C249" s="261" t="s">
        <v>261</v>
      </c>
      <c r="D249" s="307" t="s">
        <v>262</v>
      </c>
      <c r="E249" s="263">
        <f t="shared" si="2"/>
        <v>1</v>
      </c>
      <c r="F249" s="264">
        <v>490916.09</v>
      </c>
      <c r="G249" s="58">
        <v>490916.09</v>
      </c>
      <c r="H249" s="56"/>
      <c r="I249" s="260"/>
      <c r="J249" s="328"/>
    </row>
    <row r="250" spans="1:10" ht="12" outlineLevel="2" x14ac:dyDescent="0.2">
      <c r="A250" s="333"/>
      <c r="B250" s="265"/>
      <c r="C250" s="261"/>
      <c r="D250" s="307"/>
      <c r="E250" s="263"/>
      <c r="F250" s="264">
        <v>1</v>
      </c>
      <c r="G250" s="57">
        <v>1</v>
      </c>
      <c r="H250" s="56"/>
      <c r="I250" s="260"/>
      <c r="J250" s="328"/>
    </row>
    <row r="251" spans="1:10" ht="12" outlineLevel="2" x14ac:dyDescent="0.2">
      <c r="A251" s="331">
        <v>138</v>
      </c>
      <c r="B251" s="315"/>
      <c r="C251" s="303" t="s">
        <v>269</v>
      </c>
      <c r="D251" s="305" t="s">
        <v>270</v>
      </c>
      <c r="E251" s="309">
        <f t="shared" si="2"/>
        <v>1</v>
      </c>
      <c r="F251" s="311">
        <v>885</v>
      </c>
      <c r="G251" s="10">
        <v>885</v>
      </c>
      <c r="H251" s="8"/>
      <c r="I251" s="324"/>
      <c r="J251" s="325"/>
    </row>
    <row r="252" spans="1:10" ht="12" outlineLevel="2" x14ac:dyDescent="0.2">
      <c r="A252" s="331"/>
      <c r="B252" s="315"/>
      <c r="C252" s="303"/>
      <c r="D252" s="305"/>
      <c r="E252" s="309"/>
      <c r="F252" s="311">
        <v>1</v>
      </c>
      <c r="G252" s="9">
        <v>1</v>
      </c>
      <c r="H252" s="8"/>
      <c r="I252" s="324"/>
      <c r="J252" s="325"/>
    </row>
    <row r="253" spans="1:10" ht="12" outlineLevel="2" x14ac:dyDescent="0.2">
      <c r="A253" s="331">
        <v>139</v>
      </c>
      <c r="B253" s="315"/>
      <c r="C253" s="303" t="s">
        <v>271</v>
      </c>
      <c r="D253" s="305" t="s">
        <v>272</v>
      </c>
      <c r="E253" s="309">
        <f t="shared" si="2"/>
        <v>1</v>
      </c>
      <c r="F253" s="311">
        <v>663.33</v>
      </c>
      <c r="G253" s="10">
        <v>663.33</v>
      </c>
      <c r="H253" s="8"/>
      <c r="I253" s="324"/>
      <c r="J253" s="325"/>
    </row>
    <row r="254" spans="1:10" ht="12" outlineLevel="2" x14ac:dyDescent="0.2">
      <c r="A254" s="331"/>
      <c r="B254" s="315"/>
      <c r="C254" s="303"/>
      <c r="D254" s="305"/>
      <c r="E254" s="309"/>
      <c r="F254" s="311">
        <v>1</v>
      </c>
      <c r="G254" s="9">
        <v>1</v>
      </c>
      <c r="H254" s="8"/>
      <c r="I254" s="324"/>
      <c r="J254" s="325"/>
    </row>
    <row r="255" spans="1:10" ht="12" outlineLevel="2" x14ac:dyDescent="0.2">
      <c r="A255" s="331">
        <v>140</v>
      </c>
      <c r="B255" s="315"/>
      <c r="C255" s="303" t="s">
        <v>273</v>
      </c>
      <c r="D255" s="305" t="s">
        <v>274</v>
      </c>
      <c r="E255" s="309">
        <f t="shared" si="2"/>
        <v>1</v>
      </c>
      <c r="F255" s="311">
        <v>571.66999999999996</v>
      </c>
      <c r="G255" s="10">
        <v>571.66999999999996</v>
      </c>
      <c r="H255" s="8"/>
      <c r="I255" s="324"/>
      <c r="J255" s="325"/>
    </row>
    <row r="256" spans="1:10" ht="12" outlineLevel="2" x14ac:dyDescent="0.2">
      <c r="A256" s="331"/>
      <c r="B256" s="315"/>
      <c r="C256" s="303"/>
      <c r="D256" s="305"/>
      <c r="E256" s="309"/>
      <c r="F256" s="311">
        <v>1</v>
      </c>
      <c r="G256" s="9">
        <v>1</v>
      </c>
      <c r="H256" s="8"/>
      <c r="I256" s="324"/>
      <c r="J256" s="325"/>
    </row>
    <row r="257" spans="1:10" ht="12" outlineLevel="2" x14ac:dyDescent="0.2">
      <c r="A257" s="331">
        <v>141</v>
      </c>
      <c r="B257" s="315"/>
      <c r="C257" s="303" t="s">
        <v>275</v>
      </c>
      <c r="D257" s="305" t="s">
        <v>276</v>
      </c>
      <c r="E257" s="309">
        <f t="shared" si="2"/>
        <v>1</v>
      </c>
      <c r="F257" s="311">
        <v>705</v>
      </c>
      <c r="G257" s="10">
        <v>705</v>
      </c>
      <c r="H257" s="8"/>
      <c r="I257" s="324"/>
      <c r="J257" s="325"/>
    </row>
    <row r="258" spans="1:10" ht="12" outlineLevel="2" x14ac:dyDescent="0.2">
      <c r="A258" s="331"/>
      <c r="B258" s="315"/>
      <c r="C258" s="303"/>
      <c r="D258" s="305"/>
      <c r="E258" s="309"/>
      <c r="F258" s="311">
        <v>1</v>
      </c>
      <c r="G258" s="9">
        <v>1</v>
      </c>
      <c r="H258" s="8"/>
      <c r="I258" s="324"/>
      <c r="J258" s="325"/>
    </row>
    <row r="259" spans="1:10" ht="12" outlineLevel="2" x14ac:dyDescent="0.2">
      <c r="A259" s="331">
        <v>142</v>
      </c>
      <c r="B259" s="315"/>
      <c r="C259" s="303" t="s">
        <v>277</v>
      </c>
      <c r="D259" s="305" t="s">
        <v>278</v>
      </c>
      <c r="E259" s="309">
        <f t="shared" si="2"/>
        <v>3</v>
      </c>
      <c r="F259" s="311">
        <v>2680</v>
      </c>
      <c r="G259" s="7">
        <v>2680</v>
      </c>
      <c r="H259" s="8"/>
      <c r="I259" s="324"/>
      <c r="J259" s="325"/>
    </row>
    <row r="260" spans="1:10" ht="12" outlineLevel="2" x14ac:dyDescent="0.2">
      <c r="A260" s="331"/>
      <c r="B260" s="315"/>
      <c r="C260" s="303"/>
      <c r="D260" s="305"/>
      <c r="E260" s="309"/>
      <c r="F260" s="311">
        <v>3</v>
      </c>
      <c r="G260" s="9">
        <v>3</v>
      </c>
      <c r="H260" s="8"/>
      <c r="I260" s="324"/>
      <c r="J260" s="325"/>
    </row>
    <row r="261" spans="1:10" ht="12" outlineLevel="2" x14ac:dyDescent="0.2">
      <c r="A261" s="331">
        <v>143</v>
      </c>
      <c r="B261" s="315"/>
      <c r="C261" s="303" t="s">
        <v>279</v>
      </c>
      <c r="D261" s="305" t="s">
        <v>280</v>
      </c>
      <c r="E261" s="309">
        <f t="shared" si="2"/>
        <v>2</v>
      </c>
      <c r="F261" s="311">
        <v>25377.919999999998</v>
      </c>
      <c r="G261" s="7">
        <v>25377.919999999998</v>
      </c>
      <c r="H261" s="8"/>
      <c r="I261" s="324"/>
      <c r="J261" s="325"/>
    </row>
    <row r="262" spans="1:10" ht="12" outlineLevel="2" x14ac:dyDescent="0.2">
      <c r="A262" s="331"/>
      <c r="B262" s="315"/>
      <c r="C262" s="303"/>
      <c r="D262" s="305"/>
      <c r="E262" s="309"/>
      <c r="F262" s="311">
        <v>2</v>
      </c>
      <c r="G262" s="9">
        <v>2</v>
      </c>
      <c r="H262" s="8"/>
      <c r="I262" s="324"/>
      <c r="J262" s="325"/>
    </row>
    <row r="263" spans="1:10" ht="12" outlineLevel="2" x14ac:dyDescent="0.2">
      <c r="A263" s="331">
        <v>144</v>
      </c>
      <c r="B263" s="315"/>
      <c r="C263" s="303" t="s">
        <v>281</v>
      </c>
      <c r="D263" s="305" t="s">
        <v>282</v>
      </c>
      <c r="E263" s="309">
        <f t="shared" si="2"/>
        <v>2</v>
      </c>
      <c r="F263" s="311">
        <v>14381.33</v>
      </c>
      <c r="G263" s="7">
        <v>14381.33</v>
      </c>
      <c r="H263" s="8"/>
      <c r="I263" s="324"/>
      <c r="J263" s="325"/>
    </row>
    <row r="264" spans="1:10" ht="12" outlineLevel="2" x14ac:dyDescent="0.2">
      <c r="A264" s="331"/>
      <c r="B264" s="315"/>
      <c r="C264" s="303"/>
      <c r="D264" s="305"/>
      <c r="E264" s="309"/>
      <c r="F264" s="311">
        <v>2</v>
      </c>
      <c r="G264" s="9">
        <v>2</v>
      </c>
      <c r="H264" s="8"/>
      <c r="I264" s="324"/>
      <c r="J264" s="325"/>
    </row>
    <row r="265" spans="1:10" ht="12" outlineLevel="2" x14ac:dyDescent="0.2">
      <c r="A265" s="331">
        <v>145</v>
      </c>
      <c r="B265" s="315"/>
      <c r="C265" s="303" t="s">
        <v>283</v>
      </c>
      <c r="D265" s="305" t="s">
        <v>284</v>
      </c>
      <c r="E265" s="309">
        <f t="shared" si="2"/>
        <v>2</v>
      </c>
      <c r="F265" s="311">
        <v>3262.98</v>
      </c>
      <c r="G265" s="7">
        <v>3262.98</v>
      </c>
      <c r="H265" s="8"/>
      <c r="I265" s="324"/>
      <c r="J265" s="325"/>
    </row>
    <row r="266" spans="1:10" ht="12" outlineLevel="2" x14ac:dyDescent="0.2">
      <c r="A266" s="331"/>
      <c r="B266" s="315"/>
      <c r="C266" s="303"/>
      <c r="D266" s="305"/>
      <c r="E266" s="309"/>
      <c r="F266" s="311">
        <v>2</v>
      </c>
      <c r="G266" s="9">
        <v>2</v>
      </c>
      <c r="H266" s="8"/>
      <c r="I266" s="324"/>
      <c r="J266" s="325"/>
    </row>
    <row r="267" spans="1:10" ht="12" outlineLevel="2" x14ac:dyDescent="0.2">
      <c r="A267" s="331">
        <v>146</v>
      </c>
      <c r="B267" s="315"/>
      <c r="C267" s="303" t="s">
        <v>285</v>
      </c>
      <c r="D267" s="305" t="s">
        <v>286</v>
      </c>
      <c r="E267" s="309">
        <f t="shared" si="2"/>
        <v>2</v>
      </c>
      <c r="F267" s="311">
        <v>12750</v>
      </c>
      <c r="G267" s="7">
        <v>12750</v>
      </c>
      <c r="H267" s="8"/>
      <c r="I267" s="324"/>
      <c r="J267" s="325"/>
    </row>
    <row r="268" spans="1:10" ht="12" outlineLevel="2" x14ac:dyDescent="0.2">
      <c r="A268" s="331"/>
      <c r="B268" s="315"/>
      <c r="C268" s="303"/>
      <c r="D268" s="305"/>
      <c r="E268" s="309"/>
      <c r="F268" s="311">
        <v>2</v>
      </c>
      <c r="G268" s="9">
        <v>2</v>
      </c>
      <c r="H268" s="8"/>
      <c r="I268" s="324"/>
      <c r="J268" s="325"/>
    </row>
    <row r="269" spans="1:10" ht="12" outlineLevel="2" x14ac:dyDescent="0.2">
      <c r="A269" s="331">
        <v>147</v>
      </c>
      <c r="B269" s="315"/>
      <c r="C269" s="303" t="s">
        <v>287</v>
      </c>
      <c r="D269" s="305" t="s">
        <v>288</v>
      </c>
      <c r="E269" s="309">
        <f t="shared" si="2"/>
        <v>1</v>
      </c>
      <c r="F269" s="311">
        <v>26900</v>
      </c>
      <c r="G269" s="7">
        <v>26900</v>
      </c>
      <c r="H269" s="8"/>
      <c r="I269" s="324"/>
      <c r="J269" s="325"/>
    </row>
    <row r="270" spans="1:10" ht="12" outlineLevel="2" x14ac:dyDescent="0.2">
      <c r="A270" s="331"/>
      <c r="B270" s="315"/>
      <c r="C270" s="303"/>
      <c r="D270" s="305"/>
      <c r="E270" s="309"/>
      <c r="F270" s="311">
        <v>1</v>
      </c>
      <c r="G270" s="9">
        <v>1</v>
      </c>
      <c r="H270" s="8"/>
      <c r="I270" s="324"/>
      <c r="J270" s="325"/>
    </row>
    <row r="271" spans="1:10" ht="12" outlineLevel="2" x14ac:dyDescent="0.2">
      <c r="A271" s="331">
        <v>148</v>
      </c>
      <c r="B271" s="315"/>
      <c r="C271" s="303" t="s">
        <v>289</v>
      </c>
      <c r="D271" s="305" t="s">
        <v>290</v>
      </c>
      <c r="E271" s="309">
        <f t="shared" si="2"/>
        <v>3</v>
      </c>
      <c r="F271" s="311">
        <v>2600</v>
      </c>
      <c r="G271" s="7">
        <v>2600</v>
      </c>
      <c r="H271" s="8"/>
      <c r="I271" s="324"/>
      <c r="J271" s="325"/>
    </row>
    <row r="272" spans="1:10" ht="12" outlineLevel="2" x14ac:dyDescent="0.2">
      <c r="A272" s="331"/>
      <c r="B272" s="315"/>
      <c r="C272" s="303"/>
      <c r="D272" s="305"/>
      <c r="E272" s="309"/>
      <c r="F272" s="311">
        <v>3</v>
      </c>
      <c r="G272" s="9">
        <v>3</v>
      </c>
      <c r="H272" s="8"/>
      <c r="I272" s="324"/>
      <c r="J272" s="325"/>
    </row>
    <row r="273" spans="1:10" ht="12" outlineLevel="2" x14ac:dyDescent="0.2">
      <c r="A273" s="331">
        <v>149</v>
      </c>
      <c r="B273" s="315"/>
      <c r="C273" s="303" t="s">
        <v>291</v>
      </c>
      <c r="D273" s="305" t="s">
        <v>292</v>
      </c>
      <c r="E273" s="309">
        <f t="shared" si="2"/>
        <v>2</v>
      </c>
      <c r="F273" s="311">
        <v>27568.95</v>
      </c>
      <c r="G273" s="7">
        <v>27568.95</v>
      </c>
      <c r="H273" s="8"/>
      <c r="I273" s="324"/>
      <c r="J273" s="325"/>
    </row>
    <row r="274" spans="1:10" ht="12" outlineLevel="2" x14ac:dyDescent="0.2">
      <c r="A274" s="331"/>
      <c r="B274" s="315"/>
      <c r="C274" s="303"/>
      <c r="D274" s="305"/>
      <c r="E274" s="309"/>
      <c r="F274" s="311">
        <v>2</v>
      </c>
      <c r="G274" s="9">
        <v>2</v>
      </c>
      <c r="H274" s="8"/>
      <c r="I274" s="324"/>
      <c r="J274" s="325"/>
    </row>
    <row r="275" spans="1:10" ht="12" outlineLevel="2" x14ac:dyDescent="0.2">
      <c r="A275" s="331">
        <v>150</v>
      </c>
      <c r="B275" s="315"/>
      <c r="C275" s="303" t="s">
        <v>293</v>
      </c>
      <c r="D275" s="305" t="s">
        <v>294</v>
      </c>
      <c r="E275" s="309">
        <f t="shared" si="2"/>
        <v>3</v>
      </c>
      <c r="F275" s="311">
        <v>13995</v>
      </c>
      <c r="G275" s="7">
        <v>13995</v>
      </c>
      <c r="H275" s="8"/>
      <c r="I275" s="324"/>
      <c r="J275" s="325"/>
    </row>
    <row r="276" spans="1:10" ht="12" outlineLevel="2" x14ac:dyDescent="0.2">
      <c r="A276" s="331"/>
      <c r="B276" s="315"/>
      <c r="C276" s="303"/>
      <c r="D276" s="305"/>
      <c r="E276" s="309"/>
      <c r="F276" s="311">
        <v>3</v>
      </c>
      <c r="G276" s="9">
        <v>3</v>
      </c>
      <c r="H276" s="8"/>
      <c r="I276" s="324"/>
      <c r="J276" s="325"/>
    </row>
    <row r="277" spans="1:10" ht="12" outlineLevel="2" x14ac:dyDescent="0.2">
      <c r="A277" s="331">
        <v>151</v>
      </c>
      <c r="B277" s="315"/>
      <c r="C277" s="303" t="s">
        <v>295</v>
      </c>
      <c r="D277" s="305" t="s">
        <v>296</v>
      </c>
      <c r="E277" s="309">
        <f t="shared" si="2"/>
        <v>1</v>
      </c>
      <c r="F277" s="311">
        <v>22480</v>
      </c>
      <c r="G277" s="7">
        <v>22480</v>
      </c>
      <c r="H277" s="8"/>
      <c r="I277" s="324"/>
      <c r="J277" s="325"/>
    </row>
    <row r="278" spans="1:10" ht="12" outlineLevel="2" x14ac:dyDescent="0.2">
      <c r="A278" s="331"/>
      <c r="B278" s="315"/>
      <c r="C278" s="303"/>
      <c r="D278" s="305"/>
      <c r="E278" s="309"/>
      <c r="F278" s="311">
        <v>1</v>
      </c>
      <c r="G278" s="9">
        <v>1</v>
      </c>
      <c r="H278" s="8"/>
      <c r="I278" s="324"/>
      <c r="J278" s="325"/>
    </row>
    <row r="279" spans="1:10" ht="12" outlineLevel="2" x14ac:dyDescent="0.2">
      <c r="A279" s="331">
        <v>152</v>
      </c>
      <c r="B279" s="315"/>
      <c r="C279" s="303" t="s">
        <v>297</v>
      </c>
      <c r="D279" s="305" t="s">
        <v>298</v>
      </c>
      <c r="E279" s="309">
        <f t="shared" si="2"/>
        <v>6</v>
      </c>
      <c r="F279" s="311">
        <v>137.13999999999999</v>
      </c>
      <c r="G279" s="10">
        <v>137.13999999999999</v>
      </c>
      <c r="H279" s="8"/>
      <c r="I279" s="324"/>
      <c r="J279" s="325"/>
    </row>
    <row r="280" spans="1:10" ht="12" outlineLevel="2" x14ac:dyDescent="0.2">
      <c r="A280" s="331"/>
      <c r="B280" s="315"/>
      <c r="C280" s="303"/>
      <c r="D280" s="305"/>
      <c r="E280" s="309"/>
      <c r="F280" s="311">
        <v>6</v>
      </c>
      <c r="G280" s="9">
        <v>6</v>
      </c>
      <c r="H280" s="8"/>
      <c r="I280" s="324"/>
      <c r="J280" s="325"/>
    </row>
    <row r="281" spans="1:10" ht="12" outlineLevel="2" x14ac:dyDescent="0.2">
      <c r="A281" s="331">
        <v>153</v>
      </c>
      <c r="B281" s="315"/>
      <c r="C281" s="303" t="s">
        <v>299</v>
      </c>
      <c r="D281" s="305" t="s">
        <v>300</v>
      </c>
      <c r="E281" s="309">
        <f t="shared" si="2"/>
        <v>3</v>
      </c>
      <c r="F281" s="311">
        <v>674.29</v>
      </c>
      <c r="G281" s="10">
        <v>674.29</v>
      </c>
      <c r="H281" s="8"/>
      <c r="I281" s="324"/>
      <c r="J281" s="325"/>
    </row>
    <row r="282" spans="1:10" ht="12" outlineLevel="2" x14ac:dyDescent="0.2">
      <c r="A282" s="331"/>
      <c r="B282" s="315"/>
      <c r="C282" s="303"/>
      <c r="D282" s="305"/>
      <c r="E282" s="309"/>
      <c r="F282" s="311">
        <v>3</v>
      </c>
      <c r="G282" s="9">
        <v>3</v>
      </c>
      <c r="H282" s="8"/>
      <c r="I282" s="324"/>
      <c r="J282" s="325"/>
    </row>
    <row r="283" spans="1:10" ht="12" outlineLevel="2" x14ac:dyDescent="0.2">
      <c r="A283" s="331">
        <v>154</v>
      </c>
      <c r="B283" s="315"/>
      <c r="C283" s="303" t="s">
        <v>301</v>
      </c>
      <c r="D283" s="305" t="s">
        <v>302</v>
      </c>
      <c r="E283" s="309">
        <f t="shared" si="2"/>
        <v>6</v>
      </c>
      <c r="F283" s="311">
        <v>1662.86</v>
      </c>
      <c r="G283" s="7">
        <v>1662.86</v>
      </c>
      <c r="H283" s="8"/>
      <c r="I283" s="324"/>
      <c r="J283" s="325"/>
    </row>
    <row r="284" spans="1:10" ht="12" outlineLevel="2" x14ac:dyDescent="0.2">
      <c r="A284" s="331"/>
      <c r="B284" s="315"/>
      <c r="C284" s="303"/>
      <c r="D284" s="305"/>
      <c r="E284" s="309"/>
      <c r="F284" s="311">
        <v>6</v>
      </c>
      <c r="G284" s="9">
        <v>6</v>
      </c>
      <c r="H284" s="8"/>
      <c r="I284" s="324"/>
      <c r="J284" s="325"/>
    </row>
    <row r="285" spans="1:10" ht="12" outlineLevel="2" x14ac:dyDescent="0.2">
      <c r="A285" s="331">
        <v>155</v>
      </c>
      <c r="B285" s="315"/>
      <c r="C285" s="303" t="s">
        <v>303</v>
      </c>
      <c r="D285" s="305" t="s">
        <v>304</v>
      </c>
      <c r="E285" s="309">
        <f t="shared" si="2"/>
        <v>8</v>
      </c>
      <c r="F285" s="311">
        <v>1699.05</v>
      </c>
      <c r="G285" s="7">
        <v>1699.05</v>
      </c>
      <c r="H285" s="8"/>
      <c r="I285" s="324"/>
      <c r="J285" s="325"/>
    </row>
    <row r="286" spans="1:10" ht="12" outlineLevel="2" x14ac:dyDescent="0.2">
      <c r="A286" s="331"/>
      <c r="B286" s="315"/>
      <c r="C286" s="303"/>
      <c r="D286" s="305"/>
      <c r="E286" s="309"/>
      <c r="F286" s="311">
        <v>8</v>
      </c>
      <c r="G286" s="9">
        <v>8</v>
      </c>
      <c r="H286" s="8"/>
      <c r="I286" s="324"/>
      <c r="J286" s="325"/>
    </row>
    <row r="287" spans="1:10" ht="12" outlineLevel="2" x14ac:dyDescent="0.2">
      <c r="A287" s="331">
        <v>156</v>
      </c>
      <c r="B287" s="315"/>
      <c r="C287" s="303" t="s">
        <v>305</v>
      </c>
      <c r="D287" s="305" t="s">
        <v>306</v>
      </c>
      <c r="E287" s="309">
        <f t="shared" si="2"/>
        <v>3</v>
      </c>
      <c r="F287" s="311">
        <v>5322.86</v>
      </c>
      <c r="G287" s="7">
        <v>5322.86</v>
      </c>
      <c r="H287" s="8"/>
      <c r="I287" s="324"/>
      <c r="J287" s="325"/>
    </row>
    <row r="288" spans="1:10" ht="12" outlineLevel="2" x14ac:dyDescent="0.2">
      <c r="A288" s="331"/>
      <c r="B288" s="315"/>
      <c r="C288" s="303"/>
      <c r="D288" s="305"/>
      <c r="E288" s="309"/>
      <c r="F288" s="311">
        <v>3</v>
      </c>
      <c r="G288" s="9">
        <v>3</v>
      </c>
      <c r="H288" s="8"/>
      <c r="I288" s="324"/>
      <c r="J288" s="325"/>
    </row>
    <row r="289" spans="1:10" ht="12" outlineLevel="2" x14ac:dyDescent="0.2">
      <c r="A289" s="331">
        <v>157</v>
      </c>
      <c r="B289" s="315"/>
      <c r="C289" s="303" t="s">
        <v>307</v>
      </c>
      <c r="D289" s="305" t="s">
        <v>308</v>
      </c>
      <c r="E289" s="309">
        <f t="shared" si="2"/>
        <v>1</v>
      </c>
      <c r="F289" s="311">
        <v>11797.5</v>
      </c>
      <c r="G289" s="7">
        <v>11797.5</v>
      </c>
      <c r="H289" s="8"/>
      <c r="I289" s="324"/>
      <c r="J289" s="325"/>
    </row>
    <row r="290" spans="1:10" ht="12" outlineLevel="2" x14ac:dyDescent="0.2">
      <c r="A290" s="331"/>
      <c r="B290" s="315"/>
      <c r="C290" s="303"/>
      <c r="D290" s="305"/>
      <c r="E290" s="309"/>
      <c r="F290" s="311">
        <v>1</v>
      </c>
      <c r="G290" s="9">
        <v>1</v>
      </c>
      <c r="H290" s="8"/>
      <c r="I290" s="324"/>
      <c r="J290" s="325"/>
    </row>
    <row r="291" spans="1:10" ht="12" outlineLevel="2" x14ac:dyDescent="0.2">
      <c r="A291" s="331">
        <v>158</v>
      </c>
      <c r="B291" s="315"/>
      <c r="C291" s="303" t="s">
        <v>309</v>
      </c>
      <c r="D291" s="305" t="s">
        <v>310</v>
      </c>
      <c r="E291" s="309">
        <f t="shared" si="2"/>
        <v>1</v>
      </c>
      <c r="F291" s="311">
        <v>349.17</v>
      </c>
      <c r="G291" s="10">
        <v>349.17</v>
      </c>
      <c r="H291" s="8"/>
      <c r="I291" s="324"/>
      <c r="J291" s="325"/>
    </row>
    <row r="292" spans="1:10" ht="12" outlineLevel="2" x14ac:dyDescent="0.2">
      <c r="A292" s="331"/>
      <c r="B292" s="315"/>
      <c r="C292" s="303"/>
      <c r="D292" s="305"/>
      <c r="E292" s="309"/>
      <c r="F292" s="311">
        <v>1</v>
      </c>
      <c r="G292" s="9">
        <v>1</v>
      </c>
      <c r="H292" s="8"/>
      <c r="I292" s="324"/>
      <c r="J292" s="325"/>
    </row>
    <row r="293" spans="1:10" ht="12" outlineLevel="2" x14ac:dyDescent="0.2">
      <c r="A293" s="331">
        <v>159</v>
      </c>
      <c r="B293" s="315"/>
      <c r="C293" s="303" t="s">
        <v>311</v>
      </c>
      <c r="D293" s="305" t="s">
        <v>312</v>
      </c>
      <c r="E293" s="309">
        <f t="shared" si="2"/>
        <v>2</v>
      </c>
      <c r="F293" s="311">
        <v>5046.22</v>
      </c>
      <c r="G293" s="7">
        <v>5046.22</v>
      </c>
      <c r="H293" s="8"/>
      <c r="I293" s="324"/>
      <c r="J293" s="325"/>
    </row>
    <row r="294" spans="1:10" ht="12" outlineLevel="2" x14ac:dyDescent="0.2">
      <c r="A294" s="331"/>
      <c r="B294" s="315"/>
      <c r="C294" s="303"/>
      <c r="D294" s="305"/>
      <c r="E294" s="309"/>
      <c r="F294" s="311">
        <v>2</v>
      </c>
      <c r="G294" s="9">
        <v>2</v>
      </c>
      <c r="H294" s="8"/>
      <c r="I294" s="324"/>
      <c r="J294" s="325"/>
    </row>
    <row r="295" spans="1:10" ht="12" outlineLevel="2" x14ac:dyDescent="0.2">
      <c r="A295" s="331">
        <v>160</v>
      </c>
      <c r="B295" s="315"/>
      <c r="C295" s="303" t="s">
        <v>313</v>
      </c>
      <c r="D295" s="305" t="s">
        <v>314</v>
      </c>
      <c r="E295" s="309">
        <f t="shared" ref="E295:E329" si="3">G296</f>
        <v>2</v>
      </c>
      <c r="F295" s="311">
        <v>22188.23</v>
      </c>
      <c r="G295" s="7">
        <v>22188.23</v>
      </c>
      <c r="H295" s="8"/>
      <c r="I295" s="324"/>
      <c r="J295" s="325"/>
    </row>
    <row r="296" spans="1:10" ht="12" outlineLevel="2" x14ac:dyDescent="0.2">
      <c r="A296" s="331"/>
      <c r="B296" s="315"/>
      <c r="C296" s="303"/>
      <c r="D296" s="305"/>
      <c r="E296" s="309"/>
      <c r="F296" s="311">
        <v>2</v>
      </c>
      <c r="G296" s="9">
        <v>2</v>
      </c>
      <c r="H296" s="8"/>
      <c r="I296" s="324"/>
      <c r="J296" s="325"/>
    </row>
    <row r="297" spans="1:10" ht="12" outlineLevel="2" x14ac:dyDescent="0.2">
      <c r="A297" s="331">
        <v>161</v>
      </c>
      <c r="B297" s="315"/>
      <c r="C297" s="303" t="s">
        <v>315</v>
      </c>
      <c r="D297" s="305" t="s">
        <v>316</v>
      </c>
      <c r="E297" s="309">
        <f t="shared" si="3"/>
        <v>1</v>
      </c>
      <c r="F297" s="311">
        <v>2083.33</v>
      </c>
      <c r="G297" s="7">
        <v>2083.33</v>
      </c>
      <c r="H297" s="8"/>
      <c r="I297" s="324"/>
      <c r="J297" s="325"/>
    </row>
    <row r="298" spans="1:10" ht="12" outlineLevel="2" x14ac:dyDescent="0.2">
      <c r="A298" s="331"/>
      <c r="B298" s="315"/>
      <c r="C298" s="303"/>
      <c r="D298" s="305"/>
      <c r="E298" s="309"/>
      <c r="F298" s="311">
        <v>1</v>
      </c>
      <c r="G298" s="9">
        <v>1</v>
      </c>
      <c r="H298" s="8"/>
      <c r="I298" s="324"/>
      <c r="J298" s="325"/>
    </row>
    <row r="299" spans="1:10" ht="12" outlineLevel="2" x14ac:dyDescent="0.2">
      <c r="A299" s="331">
        <v>162</v>
      </c>
      <c r="B299" s="315"/>
      <c r="C299" s="303" t="s">
        <v>317</v>
      </c>
      <c r="D299" s="305" t="s">
        <v>318</v>
      </c>
      <c r="E299" s="309">
        <f t="shared" si="3"/>
        <v>1</v>
      </c>
      <c r="F299" s="311">
        <v>19280.48</v>
      </c>
      <c r="G299" s="7">
        <v>19280.48</v>
      </c>
      <c r="H299" s="8"/>
      <c r="I299" s="324"/>
      <c r="J299" s="325"/>
    </row>
    <row r="300" spans="1:10" ht="12" outlineLevel="2" x14ac:dyDescent="0.2">
      <c r="A300" s="331"/>
      <c r="B300" s="315"/>
      <c r="C300" s="303"/>
      <c r="D300" s="305"/>
      <c r="E300" s="309"/>
      <c r="F300" s="311">
        <v>1</v>
      </c>
      <c r="G300" s="9">
        <v>1</v>
      </c>
      <c r="H300" s="8"/>
      <c r="I300" s="324"/>
      <c r="J300" s="325"/>
    </row>
    <row r="301" spans="1:10" ht="12" outlineLevel="2" x14ac:dyDescent="0.2">
      <c r="A301" s="333">
        <v>163</v>
      </c>
      <c r="B301" s="265"/>
      <c r="C301" s="261" t="s">
        <v>319</v>
      </c>
      <c r="D301" s="307" t="s">
        <v>320</v>
      </c>
      <c r="E301" s="263">
        <f t="shared" si="3"/>
        <v>1</v>
      </c>
      <c r="F301" s="264">
        <v>394576.53</v>
      </c>
      <c r="G301" s="58">
        <v>394576.53</v>
      </c>
      <c r="H301" s="56"/>
      <c r="I301" s="260"/>
      <c r="J301" s="328"/>
    </row>
    <row r="302" spans="1:10" ht="12" outlineLevel="2" x14ac:dyDescent="0.2">
      <c r="A302" s="333"/>
      <c r="B302" s="265"/>
      <c r="C302" s="261"/>
      <c r="D302" s="307"/>
      <c r="E302" s="263"/>
      <c r="F302" s="264">
        <v>1</v>
      </c>
      <c r="G302" s="57">
        <v>1</v>
      </c>
      <c r="H302" s="56"/>
      <c r="I302" s="260"/>
      <c r="J302" s="328"/>
    </row>
    <row r="303" spans="1:10" ht="12" outlineLevel="2" x14ac:dyDescent="0.2">
      <c r="A303" s="333">
        <v>164</v>
      </c>
      <c r="B303" s="265"/>
      <c r="C303" s="261" t="s">
        <v>321</v>
      </c>
      <c r="D303" s="307" t="s">
        <v>322</v>
      </c>
      <c r="E303" s="263">
        <f t="shared" si="3"/>
        <v>1</v>
      </c>
      <c r="F303" s="264">
        <v>267445.71000000002</v>
      </c>
      <c r="G303" s="58">
        <v>267445.71000000002</v>
      </c>
      <c r="H303" s="56"/>
      <c r="I303" s="260"/>
      <c r="J303" s="328"/>
    </row>
    <row r="304" spans="1:10" ht="12" outlineLevel="2" x14ac:dyDescent="0.2">
      <c r="A304" s="333"/>
      <c r="B304" s="265"/>
      <c r="C304" s="261"/>
      <c r="D304" s="307"/>
      <c r="E304" s="263"/>
      <c r="F304" s="264">
        <v>1</v>
      </c>
      <c r="G304" s="57">
        <v>1</v>
      </c>
      <c r="H304" s="56"/>
      <c r="I304" s="260"/>
      <c r="J304" s="328"/>
    </row>
    <row r="305" spans="1:10" ht="12" outlineLevel="2" x14ac:dyDescent="0.2">
      <c r="A305" s="333">
        <v>165</v>
      </c>
      <c r="B305" s="265"/>
      <c r="C305" s="261" t="s">
        <v>323</v>
      </c>
      <c r="D305" s="307" t="s">
        <v>324</v>
      </c>
      <c r="E305" s="263">
        <f t="shared" si="3"/>
        <v>1</v>
      </c>
      <c r="F305" s="264">
        <v>213656.74</v>
      </c>
      <c r="G305" s="58">
        <v>213656.74</v>
      </c>
      <c r="H305" s="56"/>
      <c r="I305" s="260"/>
      <c r="J305" s="328"/>
    </row>
    <row r="306" spans="1:10" ht="12" outlineLevel="2" x14ac:dyDescent="0.2">
      <c r="A306" s="333"/>
      <c r="B306" s="265"/>
      <c r="C306" s="261"/>
      <c r="D306" s="307"/>
      <c r="E306" s="263"/>
      <c r="F306" s="264">
        <v>1</v>
      </c>
      <c r="G306" s="57">
        <v>1</v>
      </c>
      <c r="H306" s="56"/>
      <c r="I306" s="260"/>
      <c r="J306" s="328"/>
    </row>
    <row r="307" spans="1:10" ht="12" outlineLevel="2" x14ac:dyDescent="0.2">
      <c r="A307" s="331">
        <v>166</v>
      </c>
      <c r="B307" s="315"/>
      <c r="C307" s="303" t="s">
        <v>325</v>
      </c>
      <c r="D307" s="305" t="s">
        <v>326</v>
      </c>
      <c r="E307" s="309">
        <f t="shared" si="3"/>
        <v>2</v>
      </c>
      <c r="F307" s="311">
        <v>130</v>
      </c>
      <c r="G307" s="10">
        <v>130</v>
      </c>
      <c r="H307" s="8"/>
      <c r="I307" s="324"/>
      <c r="J307" s="325"/>
    </row>
    <row r="308" spans="1:10" ht="12" outlineLevel="2" x14ac:dyDescent="0.2">
      <c r="A308" s="331"/>
      <c r="B308" s="315"/>
      <c r="C308" s="303"/>
      <c r="D308" s="305"/>
      <c r="E308" s="309"/>
      <c r="F308" s="311">
        <v>2</v>
      </c>
      <c r="G308" s="9">
        <v>2</v>
      </c>
      <c r="H308" s="8"/>
      <c r="I308" s="324"/>
      <c r="J308" s="325"/>
    </row>
    <row r="309" spans="1:10" ht="12" outlineLevel="2" x14ac:dyDescent="0.2">
      <c r="A309" s="331">
        <v>167</v>
      </c>
      <c r="B309" s="315"/>
      <c r="C309" s="303" t="s">
        <v>327</v>
      </c>
      <c r="D309" s="305" t="s">
        <v>328</v>
      </c>
      <c r="E309" s="309">
        <f t="shared" si="3"/>
        <v>1</v>
      </c>
      <c r="F309" s="311">
        <v>97.5</v>
      </c>
      <c r="G309" s="10">
        <v>97.5</v>
      </c>
      <c r="H309" s="8"/>
      <c r="I309" s="324"/>
      <c r="J309" s="325"/>
    </row>
    <row r="310" spans="1:10" ht="12" outlineLevel="2" x14ac:dyDescent="0.2">
      <c r="A310" s="331"/>
      <c r="B310" s="315"/>
      <c r="C310" s="303"/>
      <c r="D310" s="305"/>
      <c r="E310" s="309"/>
      <c r="F310" s="311">
        <v>1</v>
      </c>
      <c r="G310" s="9">
        <v>1</v>
      </c>
      <c r="H310" s="8"/>
      <c r="I310" s="324"/>
      <c r="J310" s="325"/>
    </row>
    <row r="311" spans="1:10" ht="12" outlineLevel="2" x14ac:dyDescent="0.2">
      <c r="A311" s="331">
        <v>168</v>
      </c>
      <c r="B311" s="315"/>
      <c r="C311" s="303" t="s">
        <v>329</v>
      </c>
      <c r="D311" s="305" t="s">
        <v>330</v>
      </c>
      <c r="E311" s="309">
        <f t="shared" si="3"/>
        <v>1</v>
      </c>
      <c r="F311" s="311">
        <v>2198.67</v>
      </c>
      <c r="G311" s="7">
        <v>2198.67</v>
      </c>
      <c r="H311" s="8"/>
      <c r="I311" s="324"/>
      <c r="J311" s="325"/>
    </row>
    <row r="312" spans="1:10" ht="12" outlineLevel="2" x14ac:dyDescent="0.2">
      <c r="A312" s="331"/>
      <c r="B312" s="315"/>
      <c r="C312" s="303"/>
      <c r="D312" s="305"/>
      <c r="E312" s="309"/>
      <c r="F312" s="311">
        <v>1</v>
      </c>
      <c r="G312" s="9">
        <v>1</v>
      </c>
      <c r="H312" s="8"/>
      <c r="I312" s="324"/>
      <c r="J312" s="325"/>
    </row>
    <row r="313" spans="1:10" ht="12" outlineLevel="2" x14ac:dyDescent="0.2">
      <c r="A313" s="331">
        <v>169</v>
      </c>
      <c r="B313" s="315"/>
      <c r="C313" s="303" t="s">
        <v>329</v>
      </c>
      <c r="D313" s="305" t="s">
        <v>331</v>
      </c>
      <c r="E313" s="309">
        <f t="shared" si="3"/>
        <v>1</v>
      </c>
      <c r="F313" s="311">
        <v>2237.4299999999998</v>
      </c>
      <c r="G313" s="7">
        <v>2237.4299999999998</v>
      </c>
      <c r="H313" s="8"/>
      <c r="I313" s="324"/>
      <c r="J313" s="325"/>
    </row>
    <row r="314" spans="1:10" ht="12" outlineLevel="2" x14ac:dyDescent="0.2">
      <c r="A314" s="331"/>
      <c r="B314" s="315"/>
      <c r="C314" s="303"/>
      <c r="D314" s="305"/>
      <c r="E314" s="309"/>
      <c r="F314" s="311">
        <v>1</v>
      </c>
      <c r="G314" s="9">
        <v>1</v>
      </c>
      <c r="H314" s="8"/>
      <c r="I314" s="324"/>
      <c r="J314" s="325"/>
    </row>
    <row r="315" spans="1:10" ht="12" outlineLevel="2" x14ac:dyDescent="0.2">
      <c r="A315" s="331">
        <v>170</v>
      </c>
      <c r="B315" s="315"/>
      <c r="C315" s="303" t="s">
        <v>329</v>
      </c>
      <c r="D315" s="305" t="s">
        <v>332</v>
      </c>
      <c r="E315" s="309">
        <f t="shared" si="3"/>
        <v>1</v>
      </c>
      <c r="F315" s="311">
        <v>14589.46</v>
      </c>
      <c r="G315" s="7">
        <v>14589.46</v>
      </c>
      <c r="H315" s="8"/>
      <c r="I315" s="324"/>
      <c r="J315" s="325"/>
    </row>
    <row r="316" spans="1:10" ht="12" outlineLevel="2" x14ac:dyDescent="0.2">
      <c r="A316" s="331"/>
      <c r="B316" s="315"/>
      <c r="C316" s="303"/>
      <c r="D316" s="305"/>
      <c r="E316" s="309"/>
      <c r="F316" s="311">
        <v>1</v>
      </c>
      <c r="G316" s="9">
        <v>1</v>
      </c>
      <c r="H316" s="8"/>
      <c r="I316" s="324"/>
      <c r="J316" s="325"/>
    </row>
    <row r="317" spans="1:10" ht="12" outlineLevel="2" x14ac:dyDescent="0.2">
      <c r="A317" s="331">
        <v>171</v>
      </c>
      <c r="B317" s="315"/>
      <c r="C317" s="303" t="s">
        <v>329</v>
      </c>
      <c r="D317" s="305" t="s">
        <v>333</v>
      </c>
      <c r="E317" s="309">
        <f t="shared" si="3"/>
        <v>1</v>
      </c>
      <c r="F317" s="311">
        <v>1606.85</v>
      </c>
      <c r="G317" s="7">
        <v>1606.85</v>
      </c>
      <c r="H317" s="8"/>
      <c r="I317" s="324"/>
      <c r="J317" s="325"/>
    </row>
    <row r="318" spans="1:10" ht="12" outlineLevel="2" x14ac:dyDescent="0.2">
      <c r="A318" s="331"/>
      <c r="B318" s="315"/>
      <c r="C318" s="303"/>
      <c r="D318" s="305"/>
      <c r="E318" s="309"/>
      <c r="F318" s="311">
        <v>1</v>
      </c>
      <c r="G318" s="9">
        <v>1</v>
      </c>
      <c r="H318" s="8"/>
      <c r="I318" s="324"/>
      <c r="J318" s="325"/>
    </row>
    <row r="319" spans="1:10" ht="12" outlineLevel="2" x14ac:dyDescent="0.2">
      <c r="A319" s="331">
        <v>172</v>
      </c>
      <c r="B319" s="315"/>
      <c r="C319" s="303" t="s">
        <v>334</v>
      </c>
      <c r="D319" s="305" t="s">
        <v>335</v>
      </c>
      <c r="E319" s="309">
        <f t="shared" si="3"/>
        <v>1</v>
      </c>
      <c r="F319" s="311">
        <v>4578.33</v>
      </c>
      <c r="G319" s="7">
        <v>4578.33</v>
      </c>
      <c r="H319" s="8"/>
      <c r="I319" s="324"/>
      <c r="J319" s="325"/>
    </row>
    <row r="320" spans="1:10" ht="12" outlineLevel="2" x14ac:dyDescent="0.2">
      <c r="A320" s="331"/>
      <c r="B320" s="315"/>
      <c r="C320" s="303"/>
      <c r="D320" s="305"/>
      <c r="E320" s="309"/>
      <c r="F320" s="311">
        <v>1</v>
      </c>
      <c r="G320" s="9">
        <v>1</v>
      </c>
      <c r="H320" s="8"/>
      <c r="I320" s="324"/>
      <c r="J320" s="325"/>
    </row>
    <row r="321" spans="1:10" ht="12" outlineLevel="2" x14ac:dyDescent="0.2">
      <c r="A321" s="331">
        <v>173</v>
      </c>
      <c r="B321" s="315"/>
      <c r="C321" s="303" t="s">
        <v>336</v>
      </c>
      <c r="D321" s="305" t="s">
        <v>337</v>
      </c>
      <c r="E321" s="309">
        <f t="shared" si="3"/>
        <v>6</v>
      </c>
      <c r="F321" s="311">
        <v>504</v>
      </c>
      <c r="G321" s="10">
        <v>504</v>
      </c>
      <c r="H321" s="8"/>
      <c r="I321" s="324"/>
      <c r="J321" s="325"/>
    </row>
    <row r="322" spans="1:10" ht="12" outlineLevel="2" x14ac:dyDescent="0.2">
      <c r="A322" s="331"/>
      <c r="B322" s="315"/>
      <c r="C322" s="303"/>
      <c r="D322" s="305"/>
      <c r="E322" s="309"/>
      <c r="F322" s="311">
        <v>6</v>
      </c>
      <c r="G322" s="9">
        <v>6</v>
      </c>
      <c r="H322" s="8"/>
      <c r="I322" s="324"/>
      <c r="J322" s="325"/>
    </row>
    <row r="323" spans="1:10" ht="12" outlineLevel="2" x14ac:dyDescent="0.2">
      <c r="A323" s="331">
        <v>174</v>
      </c>
      <c r="B323" s="315"/>
      <c r="C323" s="303" t="s">
        <v>338</v>
      </c>
      <c r="D323" s="305" t="s">
        <v>339</v>
      </c>
      <c r="E323" s="309">
        <f t="shared" si="3"/>
        <v>1</v>
      </c>
      <c r="F323" s="311">
        <v>835.83</v>
      </c>
      <c r="G323" s="10">
        <v>835.83</v>
      </c>
      <c r="H323" s="8"/>
      <c r="I323" s="324"/>
      <c r="J323" s="325"/>
    </row>
    <row r="324" spans="1:10" ht="12" outlineLevel="2" x14ac:dyDescent="0.2">
      <c r="A324" s="331"/>
      <c r="B324" s="315"/>
      <c r="C324" s="303"/>
      <c r="D324" s="305"/>
      <c r="E324" s="309"/>
      <c r="F324" s="311">
        <v>1</v>
      </c>
      <c r="G324" s="9">
        <v>1</v>
      </c>
      <c r="H324" s="8"/>
      <c r="I324" s="324"/>
      <c r="J324" s="325"/>
    </row>
    <row r="325" spans="1:10" ht="12" outlineLevel="2" x14ac:dyDescent="0.2">
      <c r="A325" s="331">
        <v>175</v>
      </c>
      <c r="B325" s="315"/>
      <c r="C325" s="303" t="s">
        <v>340</v>
      </c>
      <c r="D325" s="305" t="s">
        <v>341</v>
      </c>
      <c r="E325" s="309">
        <f t="shared" si="3"/>
        <v>1</v>
      </c>
      <c r="F325" s="311">
        <v>5623</v>
      </c>
      <c r="G325" s="7">
        <v>5623</v>
      </c>
      <c r="H325" s="8"/>
      <c r="I325" s="324"/>
      <c r="J325" s="325"/>
    </row>
    <row r="326" spans="1:10" ht="12" outlineLevel="2" x14ac:dyDescent="0.2">
      <c r="A326" s="331"/>
      <c r="B326" s="315"/>
      <c r="C326" s="303"/>
      <c r="D326" s="305"/>
      <c r="E326" s="309"/>
      <c r="F326" s="311">
        <v>1</v>
      </c>
      <c r="G326" s="9">
        <v>1</v>
      </c>
      <c r="H326" s="8"/>
      <c r="I326" s="324"/>
      <c r="J326" s="325"/>
    </row>
    <row r="327" spans="1:10" ht="12" outlineLevel="2" x14ac:dyDescent="0.2">
      <c r="A327" s="331">
        <v>176</v>
      </c>
      <c r="B327" s="315"/>
      <c r="C327" s="303" t="s">
        <v>342</v>
      </c>
      <c r="D327" s="305" t="s">
        <v>343</v>
      </c>
      <c r="E327" s="309">
        <f t="shared" si="3"/>
        <v>2</v>
      </c>
      <c r="F327" s="311">
        <v>3165</v>
      </c>
      <c r="G327" s="7">
        <v>3165</v>
      </c>
      <c r="H327" s="8"/>
      <c r="I327" s="324"/>
      <c r="J327" s="325"/>
    </row>
    <row r="328" spans="1:10" ht="12" outlineLevel="2" x14ac:dyDescent="0.2">
      <c r="A328" s="331"/>
      <c r="B328" s="315"/>
      <c r="C328" s="303"/>
      <c r="D328" s="305"/>
      <c r="E328" s="309"/>
      <c r="F328" s="311">
        <v>2</v>
      </c>
      <c r="G328" s="9">
        <v>2</v>
      </c>
      <c r="H328" s="8"/>
      <c r="I328" s="324"/>
      <c r="J328" s="325"/>
    </row>
    <row r="329" spans="1:10" ht="12" outlineLevel="2" x14ac:dyDescent="0.2">
      <c r="A329" s="331">
        <v>177</v>
      </c>
      <c r="B329" s="315"/>
      <c r="C329" s="303" t="s">
        <v>344</v>
      </c>
      <c r="D329" s="305" t="s">
        <v>345</v>
      </c>
      <c r="E329" s="309">
        <f t="shared" si="3"/>
        <v>1</v>
      </c>
      <c r="F329" s="311">
        <v>851.67</v>
      </c>
      <c r="G329" s="10">
        <v>851.67</v>
      </c>
      <c r="H329" s="8"/>
      <c r="I329" s="324"/>
      <c r="J329" s="325"/>
    </row>
    <row r="330" spans="1:10" ht="12" outlineLevel="2" x14ac:dyDescent="0.2">
      <c r="A330" s="331"/>
      <c r="B330" s="315"/>
      <c r="C330" s="303"/>
      <c r="D330" s="305"/>
      <c r="E330" s="309"/>
      <c r="F330" s="311">
        <v>1</v>
      </c>
      <c r="G330" s="9">
        <v>1</v>
      </c>
      <c r="H330" s="8"/>
      <c r="I330" s="324"/>
      <c r="J330" s="325"/>
    </row>
    <row r="331" spans="1:10" ht="12" outlineLevel="2" x14ac:dyDescent="0.2">
      <c r="A331" s="331">
        <v>182</v>
      </c>
      <c r="B331" s="315"/>
      <c r="C331" s="303" t="s">
        <v>346</v>
      </c>
      <c r="D331" s="305" t="s">
        <v>347</v>
      </c>
      <c r="E331" s="309">
        <f>G332</f>
        <v>1</v>
      </c>
      <c r="F331" s="311">
        <v>7325</v>
      </c>
      <c r="G331" s="7">
        <v>7325</v>
      </c>
      <c r="H331" s="8"/>
      <c r="I331" s="324"/>
      <c r="J331" s="325"/>
    </row>
    <row r="332" spans="1:10" ht="12" outlineLevel="2" x14ac:dyDescent="0.2">
      <c r="A332" s="331"/>
      <c r="B332" s="315"/>
      <c r="C332" s="303"/>
      <c r="D332" s="305"/>
      <c r="E332" s="309"/>
      <c r="F332" s="311">
        <v>1</v>
      </c>
      <c r="G332" s="9">
        <v>1</v>
      </c>
      <c r="H332" s="8"/>
      <c r="I332" s="324"/>
      <c r="J332" s="325"/>
    </row>
    <row r="333" spans="1:10" ht="12" outlineLevel="2" x14ac:dyDescent="0.2">
      <c r="A333" s="331">
        <v>193</v>
      </c>
      <c r="B333" s="315"/>
      <c r="C333" s="303" t="s">
        <v>348</v>
      </c>
      <c r="D333" s="305" t="s">
        <v>349</v>
      </c>
      <c r="E333" s="309">
        <f t="shared" ref="E333:E343" si="4">G334</f>
        <v>3</v>
      </c>
      <c r="F333" s="311">
        <v>10247.49</v>
      </c>
      <c r="G333" s="7">
        <v>10247.49</v>
      </c>
      <c r="H333" s="8"/>
      <c r="I333" s="324"/>
      <c r="J333" s="325"/>
    </row>
    <row r="334" spans="1:10" ht="12" outlineLevel="2" x14ac:dyDescent="0.2">
      <c r="A334" s="331"/>
      <c r="B334" s="315"/>
      <c r="C334" s="303"/>
      <c r="D334" s="305"/>
      <c r="E334" s="309"/>
      <c r="F334" s="311">
        <v>3</v>
      </c>
      <c r="G334" s="9">
        <v>3</v>
      </c>
      <c r="H334" s="8"/>
      <c r="I334" s="324"/>
      <c r="J334" s="325"/>
    </row>
    <row r="335" spans="1:10" ht="12" outlineLevel="2" x14ac:dyDescent="0.2">
      <c r="A335" s="331">
        <v>194</v>
      </c>
      <c r="B335" s="315"/>
      <c r="C335" s="303" t="s">
        <v>350</v>
      </c>
      <c r="D335" s="305" t="s">
        <v>351</v>
      </c>
      <c r="E335" s="309">
        <f t="shared" si="4"/>
        <v>3</v>
      </c>
      <c r="F335" s="311">
        <v>8500</v>
      </c>
      <c r="G335" s="7">
        <v>8500</v>
      </c>
      <c r="H335" s="8"/>
      <c r="I335" s="324"/>
      <c r="J335" s="325"/>
    </row>
    <row r="336" spans="1:10" ht="12" outlineLevel="2" x14ac:dyDescent="0.2">
      <c r="A336" s="331"/>
      <c r="B336" s="315"/>
      <c r="C336" s="303"/>
      <c r="D336" s="305"/>
      <c r="E336" s="309"/>
      <c r="F336" s="311">
        <v>3</v>
      </c>
      <c r="G336" s="9">
        <v>3</v>
      </c>
      <c r="H336" s="8"/>
      <c r="I336" s="324"/>
      <c r="J336" s="325"/>
    </row>
    <row r="337" spans="1:10" ht="12" outlineLevel="2" x14ac:dyDescent="0.2">
      <c r="A337" s="331">
        <v>195</v>
      </c>
      <c r="B337" s="315"/>
      <c r="C337" s="303" t="s">
        <v>352</v>
      </c>
      <c r="D337" s="305" t="s">
        <v>353</v>
      </c>
      <c r="E337" s="309">
        <f t="shared" si="4"/>
        <v>2</v>
      </c>
      <c r="F337" s="311">
        <v>6998.34</v>
      </c>
      <c r="G337" s="7">
        <v>6998.34</v>
      </c>
      <c r="H337" s="8"/>
      <c r="I337" s="324"/>
      <c r="J337" s="325"/>
    </row>
    <row r="338" spans="1:10" ht="12" outlineLevel="2" x14ac:dyDescent="0.2">
      <c r="A338" s="331"/>
      <c r="B338" s="315"/>
      <c r="C338" s="303"/>
      <c r="D338" s="305"/>
      <c r="E338" s="309"/>
      <c r="F338" s="311">
        <v>2</v>
      </c>
      <c r="G338" s="9">
        <v>2</v>
      </c>
      <c r="H338" s="8"/>
      <c r="I338" s="324"/>
      <c r="J338" s="325"/>
    </row>
    <row r="339" spans="1:10" ht="12" outlineLevel="2" x14ac:dyDescent="0.2">
      <c r="A339" s="331">
        <v>196</v>
      </c>
      <c r="B339" s="315"/>
      <c r="C339" s="303" t="s">
        <v>354</v>
      </c>
      <c r="D339" s="305" t="s">
        <v>355</v>
      </c>
      <c r="E339" s="309">
        <f t="shared" si="4"/>
        <v>1</v>
      </c>
      <c r="F339" s="311">
        <v>633.33000000000004</v>
      </c>
      <c r="G339" s="10">
        <v>633.33000000000004</v>
      </c>
      <c r="H339" s="8"/>
      <c r="I339" s="324"/>
      <c r="J339" s="325"/>
    </row>
    <row r="340" spans="1:10" ht="12" outlineLevel="2" x14ac:dyDescent="0.2">
      <c r="A340" s="331"/>
      <c r="B340" s="315"/>
      <c r="C340" s="303"/>
      <c r="D340" s="305"/>
      <c r="E340" s="309"/>
      <c r="F340" s="311">
        <v>1</v>
      </c>
      <c r="G340" s="9">
        <v>1</v>
      </c>
      <c r="H340" s="8"/>
      <c r="I340" s="324"/>
      <c r="J340" s="325"/>
    </row>
    <row r="341" spans="1:10" ht="12" outlineLevel="2" x14ac:dyDescent="0.2">
      <c r="A341" s="331">
        <v>197</v>
      </c>
      <c r="B341" s="315"/>
      <c r="C341" s="303" t="s">
        <v>356</v>
      </c>
      <c r="D341" s="305" t="s">
        <v>357</v>
      </c>
      <c r="E341" s="309">
        <f t="shared" si="4"/>
        <v>3</v>
      </c>
      <c r="F341" s="311">
        <v>9500</v>
      </c>
      <c r="G341" s="7">
        <v>9500</v>
      </c>
      <c r="H341" s="8"/>
      <c r="I341" s="324"/>
      <c r="J341" s="325"/>
    </row>
    <row r="342" spans="1:10" ht="12" outlineLevel="2" x14ac:dyDescent="0.2">
      <c r="A342" s="331"/>
      <c r="B342" s="315"/>
      <c r="C342" s="303"/>
      <c r="D342" s="305"/>
      <c r="E342" s="309"/>
      <c r="F342" s="311">
        <v>3</v>
      </c>
      <c r="G342" s="9">
        <v>3</v>
      </c>
      <c r="H342" s="8"/>
      <c r="I342" s="324"/>
      <c r="J342" s="325"/>
    </row>
    <row r="343" spans="1:10" ht="12" outlineLevel="2" x14ac:dyDescent="0.2">
      <c r="A343" s="331">
        <v>198</v>
      </c>
      <c r="B343" s="315"/>
      <c r="C343" s="303" t="s">
        <v>358</v>
      </c>
      <c r="D343" s="305" t="s">
        <v>359</v>
      </c>
      <c r="E343" s="309">
        <f t="shared" si="4"/>
        <v>1</v>
      </c>
      <c r="F343" s="311">
        <v>1915.83</v>
      </c>
      <c r="G343" s="7">
        <v>1915.83</v>
      </c>
      <c r="H343" s="8"/>
      <c r="I343" s="324"/>
      <c r="J343" s="325"/>
    </row>
    <row r="344" spans="1:10" ht="12" outlineLevel="2" x14ac:dyDescent="0.2">
      <c r="A344" s="331"/>
      <c r="B344" s="315"/>
      <c r="C344" s="303"/>
      <c r="D344" s="305"/>
      <c r="E344" s="309"/>
      <c r="F344" s="311">
        <v>1</v>
      </c>
      <c r="G344" s="9">
        <v>1</v>
      </c>
      <c r="H344" s="8"/>
      <c r="I344" s="324"/>
      <c r="J344" s="325"/>
    </row>
    <row r="345" spans="1:10" ht="12" outlineLevel="2" x14ac:dyDescent="0.2">
      <c r="A345" s="331">
        <v>217</v>
      </c>
      <c r="B345" s="315"/>
      <c r="C345" s="303" t="s">
        <v>368</v>
      </c>
      <c r="D345" s="305" t="s">
        <v>369</v>
      </c>
      <c r="E345" s="309">
        <f>G346</f>
        <v>1</v>
      </c>
      <c r="F345" s="311">
        <v>2849.17</v>
      </c>
      <c r="G345" s="7">
        <v>2849.17</v>
      </c>
      <c r="H345" s="8"/>
      <c r="I345" s="324"/>
      <c r="J345" s="325"/>
    </row>
    <row r="346" spans="1:10" ht="12" outlineLevel="2" x14ac:dyDescent="0.2">
      <c r="A346" s="331"/>
      <c r="B346" s="315"/>
      <c r="C346" s="303"/>
      <c r="D346" s="305"/>
      <c r="E346" s="309"/>
      <c r="F346" s="311">
        <v>1</v>
      </c>
      <c r="G346" s="9">
        <v>1</v>
      </c>
      <c r="H346" s="8"/>
      <c r="I346" s="324"/>
      <c r="J346" s="325"/>
    </row>
    <row r="347" spans="1:10" outlineLevel="1" x14ac:dyDescent="0.2">
      <c r="A347" s="331">
        <v>220</v>
      </c>
      <c r="B347" s="315"/>
      <c r="C347" s="303" t="s">
        <v>370</v>
      </c>
      <c r="D347" s="305" t="s">
        <v>371</v>
      </c>
      <c r="E347" s="309">
        <f>G350</f>
        <v>1</v>
      </c>
      <c r="F347" s="311">
        <v>9175</v>
      </c>
      <c r="G347" s="12"/>
      <c r="H347" s="12"/>
      <c r="I347" s="23"/>
      <c r="J347" s="13"/>
    </row>
    <row r="348" spans="1:10" outlineLevel="1" x14ac:dyDescent="0.2">
      <c r="A348" s="331"/>
      <c r="B348" s="315"/>
      <c r="C348" s="303"/>
      <c r="D348" s="305"/>
      <c r="E348" s="309"/>
      <c r="F348" s="311">
        <v>1</v>
      </c>
      <c r="G348" s="12"/>
      <c r="H348" s="12"/>
      <c r="I348" s="23"/>
      <c r="J348" s="13"/>
    </row>
    <row r="349" spans="1:10" ht="12" outlineLevel="2" x14ac:dyDescent="0.2">
      <c r="A349" s="331">
        <v>221</v>
      </c>
      <c r="B349" s="315"/>
      <c r="C349" s="303" t="s">
        <v>372</v>
      </c>
      <c r="D349" s="305" t="s">
        <v>373</v>
      </c>
      <c r="E349" s="309">
        <v>2</v>
      </c>
      <c r="F349" s="311">
        <v>1333.33</v>
      </c>
      <c r="G349" s="7">
        <v>9175</v>
      </c>
      <c r="H349" s="8"/>
      <c r="I349" s="324"/>
      <c r="J349" s="325"/>
    </row>
    <row r="350" spans="1:10" ht="12" outlineLevel="2" x14ac:dyDescent="0.2">
      <c r="A350" s="331"/>
      <c r="B350" s="315"/>
      <c r="C350" s="303"/>
      <c r="D350" s="305"/>
      <c r="E350" s="309"/>
      <c r="F350" s="311">
        <v>2</v>
      </c>
      <c r="G350" s="9">
        <v>1</v>
      </c>
      <c r="H350" s="8"/>
      <c r="I350" s="324"/>
      <c r="J350" s="325"/>
    </row>
    <row r="351" spans="1:10" ht="12.75" outlineLevel="2" x14ac:dyDescent="0.2">
      <c r="A351" s="331">
        <v>224</v>
      </c>
      <c r="B351" s="315"/>
      <c r="C351" s="303" t="s">
        <v>374</v>
      </c>
      <c r="D351" s="305" t="s">
        <v>375</v>
      </c>
      <c r="E351" s="309">
        <v>1</v>
      </c>
      <c r="F351" s="311">
        <v>11291.67</v>
      </c>
      <c r="G351" s="14">
        <v>550293.51</v>
      </c>
      <c r="H351" s="14">
        <v>1541865.95</v>
      </c>
      <c r="I351" s="324"/>
      <c r="J351" s="325"/>
    </row>
    <row r="352" spans="1:10" ht="12.75" outlineLevel="2" x14ac:dyDescent="0.2">
      <c r="A352" s="331"/>
      <c r="B352" s="315"/>
      <c r="C352" s="303"/>
      <c r="D352" s="305"/>
      <c r="E352" s="309"/>
      <c r="F352" s="311">
        <v>1</v>
      </c>
      <c r="G352" s="15">
        <v>7</v>
      </c>
      <c r="H352" s="15">
        <v>51</v>
      </c>
      <c r="I352" s="324"/>
      <c r="J352" s="325"/>
    </row>
    <row r="353" spans="1:10" ht="12" outlineLevel="3" x14ac:dyDescent="0.2">
      <c r="A353" s="331">
        <v>226</v>
      </c>
      <c r="B353" s="315"/>
      <c r="C353" s="303" t="s">
        <v>376</v>
      </c>
      <c r="D353" s="305" t="s">
        <v>377</v>
      </c>
      <c r="E353" s="309">
        <f>H356</f>
        <v>1</v>
      </c>
      <c r="F353" s="311">
        <v>12491.67</v>
      </c>
      <c r="G353" s="8"/>
      <c r="H353" s="7">
        <v>58332.5</v>
      </c>
      <c r="I353" s="324"/>
      <c r="J353" s="325"/>
    </row>
    <row r="354" spans="1:10" ht="12" outlineLevel="3" x14ac:dyDescent="0.2">
      <c r="A354" s="331"/>
      <c r="B354" s="315"/>
      <c r="C354" s="303"/>
      <c r="D354" s="305"/>
      <c r="E354" s="309"/>
      <c r="F354" s="311">
        <v>1</v>
      </c>
      <c r="G354" s="8"/>
      <c r="H354" s="9">
        <v>1</v>
      </c>
      <c r="I354" s="324"/>
      <c r="J354" s="325"/>
    </row>
    <row r="355" spans="1:10" ht="12" outlineLevel="3" x14ac:dyDescent="0.2">
      <c r="A355" s="331">
        <v>227</v>
      </c>
      <c r="B355" s="315"/>
      <c r="C355" s="303" t="s">
        <v>378</v>
      </c>
      <c r="D355" s="305" t="s">
        <v>379</v>
      </c>
      <c r="E355" s="309">
        <f>H358</f>
        <v>1</v>
      </c>
      <c r="F355" s="311">
        <v>16287.5</v>
      </c>
      <c r="G355" s="8"/>
      <c r="H355" s="7">
        <v>12491.67</v>
      </c>
      <c r="I355" s="324"/>
      <c r="J355" s="325"/>
    </row>
    <row r="356" spans="1:10" ht="12" outlineLevel="3" x14ac:dyDescent="0.2">
      <c r="A356" s="331"/>
      <c r="B356" s="315"/>
      <c r="C356" s="303"/>
      <c r="D356" s="305"/>
      <c r="E356" s="309"/>
      <c r="F356" s="311">
        <v>1</v>
      </c>
      <c r="G356" s="8"/>
      <c r="H356" s="9">
        <v>1</v>
      </c>
      <c r="I356" s="324"/>
      <c r="J356" s="325"/>
    </row>
    <row r="357" spans="1:10" ht="12" outlineLevel="3" x14ac:dyDescent="0.2">
      <c r="A357" s="331">
        <v>228</v>
      </c>
      <c r="B357" s="315"/>
      <c r="C357" s="303" t="s">
        <v>380</v>
      </c>
      <c r="D357" s="305" t="s">
        <v>381</v>
      </c>
      <c r="E357" s="309">
        <f>H360</f>
        <v>1</v>
      </c>
      <c r="F357" s="311">
        <v>29614.17</v>
      </c>
      <c r="G357" s="8"/>
      <c r="H357" s="7">
        <v>16287.5</v>
      </c>
      <c r="I357" s="324"/>
      <c r="J357" s="325"/>
    </row>
    <row r="358" spans="1:10" ht="12" outlineLevel="3" x14ac:dyDescent="0.2">
      <c r="A358" s="331"/>
      <c r="B358" s="315"/>
      <c r="C358" s="303"/>
      <c r="D358" s="305"/>
      <c r="E358" s="309"/>
      <c r="F358" s="311">
        <v>1</v>
      </c>
      <c r="G358" s="8"/>
      <c r="H358" s="9">
        <v>1</v>
      </c>
      <c r="I358" s="324"/>
      <c r="J358" s="325"/>
    </row>
    <row r="359" spans="1:10" ht="12" outlineLevel="3" x14ac:dyDescent="0.2">
      <c r="A359" s="331">
        <v>229</v>
      </c>
      <c r="B359" s="315"/>
      <c r="C359" s="303" t="s">
        <v>382</v>
      </c>
      <c r="D359" s="305" t="s">
        <v>383</v>
      </c>
      <c r="E359" s="309">
        <f>H362</f>
        <v>1</v>
      </c>
      <c r="F359" s="311">
        <v>19583.330000000002</v>
      </c>
      <c r="G359" s="8"/>
      <c r="H359" s="7">
        <v>29614.17</v>
      </c>
      <c r="I359" s="324"/>
      <c r="J359" s="325"/>
    </row>
    <row r="360" spans="1:10" ht="12" outlineLevel="3" x14ac:dyDescent="0.2">
      <c r="A360" s="331"/>
      <c r="B360" s="315"/>
      <c r="C360" s="303"/>
      <c r="D360" s="305"/>
      <c r="E360" s="309"/>
      <c r="F360" s="311">
        <v>1</v>
      </c>
      <c r="G360" s="8"/>
      <c r="H360" s="9">
        <v>1</v>
      </c>
      <c r="I360" s="324"/>
      <c r="J360" s="325"/>
    </row>
    <row r="361" spans="1:10" ht="12" outlineLevel="3" x14ac:dyDescent="0.2">
      <c r="A361" s="331">
        <v>230</v>
      </c>
      <c r="B361" s="315"/>
      <c r="C361" s="303" t="s">
        <v>384</v>
      </c>
      <c r="D361" s="305" t="s">
        <v>385</v>
      </c>
      <c r="E361" s="309">
        <f>H364</f>
        <v>3</v>
      </c>
      <c r="F361" s="311">
        <v>14750</v>
      </c>
      <c r="G361" s="8"/>
      <c r="H361" s="7">
        <v>19583.330000000002</v>
      </c>
      <c r="I361" s="324"/>
      <c r="J361" s="325"/>
    </row>
    <row r="362" spans="1:10" ht="12" outlineLevel="3" x14ac:dyDescent="0.2">
      <c r="A362" s="331"/>
      <c r="B362" s="315"/>
      <c r="C362" s="303"/>
      <c r="D362" s="305"/>
      <c r="E362" s="309"/>
      <c r="F362" s="311">
        <v>3</v>
      </c>
      <c r="G362" s="8"/>
      <c r="H362" s="9">
        <v>1</v>
      </c>
      <c r="I362" s="324"/>
      <c r="J362" s="325"/>
    </row>
    <row r="363" spans="1:10" ht="12" outlineLevel="3" x14ac:dyDescent="0.2">
      <c r="A363" s="331">
        <v>231</v>
      </c>
      <c r="B363" s="315"/>
      <c r="C363" s="303" t="s">
        <v>386</v>
      </c>
      <c r="D363" s="305" t="s">
        <v>387</v>
      </c>
      <c r="E363" s="309">
        <v>1</v>
      </c>
      <c r="F363" s="311">
        <v>46606.67</v>
      </c>
      <c r="G363" s="8"/>
      <c r="H363" s="7">
        <v>14750</v>
      </c>
      <c r="I363" s="324"/>
      <c r="J363" s="325"/>
    </row>
    <row r="364" spans="1:10" ht="12" outlineLevel="3" x14ac:dyDescent="0.2">
      <c r="A364" s="331"/>
      <c r="B364" s="315"/>
      <c r="C364" s="303"/>
      <c r="D364" s="305"/>
      <c r="E364" s="309"/>
      <c r="F364" s="311">
        <v>1</v>
      </c>
      <c r="G364" s="8"/>
      <c r="H364" s="9">
        <v>3</v>
      </c>
      <c r="I364" s="324"/>
      <c r="J364" s="325"/>
    </row>
    <row r="365" spans="1:10" ht="12" outlineLevel="3" x14ac:dyDescent="0.2">
      <c r="A365" s="331">
        <v>233</v>
      </c>
      <c r="B365" s="315"/>
      <c r="C365" s="303" t="s">
        <v>390</v>
      </c>
      <c r="D365" s="305" t="s">
        <v>391</v>
      </c>
      <c r="E365" s="309">
        <f>H368</f>
        <v>1</v>
      </c>
      <c r="F365" s="311">
        <v>12499.17</v>
      </c>
      <c r="G365" s="8"/>
      <c r="H365" s="7">
        <v>37533.33</v>
      </c>
      <c r="I365" s="324"/>
      <c r="J365" s="325"/>
    </row>
    <row r="366" spans="1:10" ht="12" outlineLevel="3" x14ac:dyDescent="0.2">
      <c r="A366" s="331"/>
      <c r="B366" s="315"/>
      <c r="C366" s="303"/>
      <c r="D366" s="305"/>
      <c r="E366" s="309"/>
      <c r="F366" s="311">
        <v>1</v>
      </c>
      <c r="G366" s="8"/>
      <c r="H366" s="9">
        <v>1</v>
      </c>
      <c r="I366" s="324"/>
      <c r="J366" s="325"/>
    </row>
    <row r="367" spans="1:10" ht="12" outlineLevel="3" x14ac:dyDescent="0.2">
      <c r="A367" s="331">
        <v>234</v>
      </c>
      <c r="B367" s="315"/>
      <c r="C367" s="303" t="s">
        <v>392</v>
      </c>
      <c r="D367" s="305" t="s">
        <v>393</v>
      </c>
      <c r="E367" s="309">
        <v>1</v>
      </c>
      <c r="F367" s="311">
        <v>10078.33</v>
      </c>
      <c r="G367" s="8"/>
      <c r="H367" s="7">
        <v>12499.17</v>
      </c>
      <c r="I367" s="324"/>
      <c r="J367" s="325"/>
    </row>
    <row r="368" spans="1:10" ht="12" outlineLevel="3" x14ac:dyDescent="0.2">
      <c r="A368" s="331"/>
      <c r="B368" s="315"/>
      <c r="C368" s="303"/>
      <c r="D368" s="305"/>
      <c r="E368" s="309"/>
      <c r="F368" s="311">
        <v>1</v>
      </c>
      <c r="G368" s="8"/>
      <c r="H368" s="9">
        <v>1</v>
      </c>
      <c r="I368" s="324"/>
      <c r="J368" s="325"/>
    </row>
    <row r="369" spans="1:10" ht="12" outlineLevel="3" x14ac:dyDescent="0.2">
      <c r="A369" s="331">
        <v>236</v>
      </c>
      <c r="B369" s="315"/>
      <c r="C369" s="303" t="s">
        <v>396</v>
      </c>
      <c r="D369" s="305" t="s">
        <v>397</v>
      </c>
      <c r="E369" s="309">
        <f>H372</f>
        <v>4</v>
      </c>
      <c r="F369" s="311">
        <v>40666.67</v>
      </c>
      <c r="G369" s="8"/>
      <c r="H369" s="7">
        <v>6216.67</v>
      </c>
      <c r="I369" s="324"/>
      <c r="J369" s="325"/>
    </row>
    <row r="370" spans="1:10" ht="12" outlineLevel="3" x14ac:dyDescent="0.2">
      <c r="A370" s="331"/>
      <c r="B370" s="315"/>
      <c r="C370" s="303"/>
      <c r="D370" s="305"/>
      <c r="E370" s="309"/>
      <c r="F370" s="311">
        <v>4</v>
      </c>
      <c r="G370" s="8"/>
      <c r="H370" s="9">
        <v>1</v>
      </c>
      <c r="I370" s="324"/>
      <c r="J370" s="325"/>
    </row>
    <row r="371" spans="1:10" ht="12" outlineLevel="3" x14ac:dyDescent="0.2">
      <c r="A371" s="331">
        <v>237</v>
      </c>
      <c r="B371" s="315"/>
      <c r="C371" s="303" t="s">
        <v>398</v>
      </c>
      <c r="D371" s="305" t="s">
        <v>399</v>
      </c>
      <c r="E371" s="309">
        <f>H374</f>
        <v>2</v>
      </c>
      <c r="F371" s="311">
        <v>87083.33</v>
      </c>
      <c r="G371" s="8"/>
      <c r="H371" s="7">
        <v>40666.67</v>
      </c>
      <c r="I371" s="324"/>
      <c r="J371" s="325"/>
    </row>
    <row r="372" spans="1:10" ht="12" outlineLevel="3" x14ac:dyDescent="0.2">
      <c r="A372" s="331"/>
      <c r="B372" s="315"/>
      <c r="C372" s="303"/>
      <c r="D372" s="305"/>
      <c r="E372" s="309"/>
      <c r="F372" s="311">
        <v>2</v>
      </c>
      <c r="G372" s="8"/>
      <c r="H372" s="9">
        <v>4</v>
      </c>
      <c r="I372" s="324"/>
      <c r="J372" s="325"/>
    </row>
    <row r="373" spans="1:10" ht="12" outlineLevel="3" x14ac:dyDescent="0.2">
      <c r="A373" s="331">
        <v>238</v>
      </c>
      <c r="B373" s="315"/>
      <c r="C373" s="303" t="s">
        <v>400</v>
      </c>
      <c r="D373" s="305" t="s">
        <v>401</v>
      </c>
      <c r="E373" s="309">
        <f>H376</f>
        <v>6</v>
      </c>
      <c r="F373" s="311">
        <v>374450</v>
      </c>
      <c r="G373" s="8"/>
      <c r="H373" s="7">
        <v>87083.33</v>
      </c>
      <c r="I373" s="324"/>
      <c r="J373" s="325"/>
    </row>
    <row r="374" spans="1:10" ht="12" outlineLevel="3" x14ac:dyDescent="0.2">
      <c r="A374" s="331"/>
      <c r="B374" s="315"/>
      <c r="C374" s="303"/>
      <c r="D374" s="305"/>
      <c r="E374" s="309"/>
      <c r="F374" s="311">
        <v>6</v>
      </c>
      <c r="G374" s="8"/>
      <c r="H374" s="9">
        <v>2</v>
      </c>
      <c r="I374" s="324"/>
      <c r="J374" s="325"/>
    </row>
    <row r="375" spans="1:10" ht="12" outlineLevel="3" x14ac:dyDescent="0.2">
      <c r="A375" s="331">
        <v>239</v>
      </c>
      <c r="B375" s="315"/>
      <c r="C375" s="303" t="s">
        <v>402</v>
      </c>
      <c r="D375" s="305" t="s">
        <v>403</v>
      </c>
      <c r="E375" s="309">
        <f>H378</f>
        <v>1</v>
      </c>
      <c r="F375" s="311">
        <v>65832.5</v>
      </c>
      <c r="G375" s="8"/>
      <c r="H375" s="7">
        <v>374450</v>
      </c>
      <c r="I375" s="324"/>
      <c r="J375" s="325"/>
    </row>
    <row r="376" spans="1:10" ht="12" outlineLevel="3" x14ac:dyDescent="0.2">
      <c r="A376" s="331"/>
      <c r="B376" s="315"/>
      <c r="C376" s="303"/>
      <c r="D376" s="305"/>
      <c r="E376" s="309"/>
      <c r="F376" s="311">
        <v>1</v>
      </c>
      <c r="G376" s="8"/>
      <c r="H376" s="9">
        <v>6</v>
      </c>
      <c r="I376" s="324"/>
      <c r="J376" s="325"/>
    </row>
    <row r="377" spans="1:10" ht="12" outlineLevel="3" x14ac:dyDescent="0.2">
      <c r="A377" s="331">
        <v>240</v>
      </c>
      <c r="B377" s="315"/>
      <c r="C377" s="303" t="s">
        <v>404</v>
      </c>
      <c r="D377" s="305" t="s">
        <v>405</v>
      </c>
      <c r="E377" s="309">
        <f>H380</f>
        <v>1</v>
      </c>
      <c r="F377" s="311">
        <v>16250</v>
      </c>
      <c r="G377" s="8"/>
      <c r="H377" s="7">
        <v>65832.5</v>
      </c>
      <c r="I377" s="324"/>
      <c r="J377" s="325"/>
    </row>
    <row r="378" spans="1:10" ht="12" outlineLevel="3" x14ac:dyDescent="0.2">
      <c r="A378" s="331"/>
      <c r="B378" s="315"/>
      <c r="C378" s="303"/>
      <c r="D378" s="305"/>
      <c r="E378" s="309"/>
      <c r="F378" s="311">
        <v>1</v>
      </c>
      <c r="G378" s="8"/>
      <c r="H378" s="9">
        <v>1</v>
      </c>
      <c r="I378" s="324"/>
      <c r="J378" s="325"/>
    </row>
    <row r="379" spans="1:10" ht="12" outlineLevel="3" x14ac:dyDescent="0.2">
      <c r="A379" s="331">
        <v>241</v>
      </c>
      <c r="B379" s="315"/>
      <c r="C379" s="303" t="s">
        <v>406</v>
      </c>
      <c r="D379" s="305" t="s">
        <v>407</v>
      </c>
      <c r="E379" s="309">
        <v>2</v>
      </c>
      <c r="F379" s="311">
        <v>23635</v>
      </c>
      <c r="G379" s="8"/>
      <c r="H379" s="7">
        <v>16250</v>
      </c>
      <c r="I379" s="324"/>
      <c r="J379" s="325"/>
    </row>
    <row r="380" spans="1:10" ht="12" outlineLevel="3" x14ac:dyDescent="0.2">
      <c r="A380" s="331"/>
      <c r="B380" s="315"/>
      <c r="C380" s="303"/>
      <c r="D380" s="305"/>
      <c r="E380" s="309"/>
      <c r="F380" s="311">
        <v>2</v>
      </c>
      <c r="G380" s="8"/>
      <c r="H380" s="9">
        <v>1</v>
      </c>
      <c r="I380" s="324"/>
      <c r="J380" s="325"/>
    </row>
    <row r="381" spans="1:10" ht="12" outlineLevel="3" x14ac:dyDescent="0.2">
      <c r="A381" s="331">
        <v>243</v>
      </c>
      <c r="B381" s="315"/>
      <c r="C381" s="303" t="s">
        <v>410</v>
      </c>
      <c r="D381" s="305" t="s">
        <v>411</v>
      </c>
      <c r="E381" s="309">
        <f>H384</f>
        <v>5</v>
      </c>
      <c r="F381" s="311">
        <v>943360.3</v>
      </c>
      <c r="G381" s="8"/>
      <c r="H381" s="7">
        <v>37499.17</v>
      </c>
      <c r="I381" s="324"/>
      <c r="J381" s="325"/>
    </row>
    <row r="382" spans="1:10" ht="12" outlineLevel="3" x14ac:dyDescent="0.2">
      <c r="A382" s="331"/>
      <c r="B382" s="315"/>
      <c r="C382" s="303"/>
      <c r="D382" s="305"/>
      <c r="E382" s="309"/>
      <c r="F382" s="311">
        <v>12</v>
      </c>
      <c r="G382" s="8"/>
      <c r="H382" s="9">
        <v>1</v>
      </c>
      <c r="I382" s="324"/>
      <c r="J382" s="325"/>
    </row>
    <row r="383" spans="1:10" ht="12" outlineLevel="3" x14ac:dyDescent="0.2">
      <c r="A383" s="331">
        <v>244</v>
      </c>
      <c r="B383" s="315"/>
      <c r="C383" s="303" t="s">
        <v>412</v>
      </c>
      <c r="D383" s="305" t="s">
        <v>413</v>
      </c>
      <c r="E383" s="309">
        <f>H386</f>
        <v>2</v>
      </c>
      <c r="F383" s="311">
        <v>9330</v>
      </c>
      <c r="G383" s="7">
        <v>550293.51</v>
      </c>
      <c r="H383" s="7">
        <v>393066.79</v>
      </c>
      <c r="I383" s="324"/>
      <c r="J383" s="325"/>
    </row>
    <row r="384" spans="1:10" ht="12" outlineLevel="3" x14ac:dyDescent="0.2">
      <c r="A384" s="331"/>
      <c r="B384" s="315"/>
      <c r="C384" s="303"/>
      <c r="D384" s="305"/>
      <c r="E384" s="309"/>
      <c r="F384" s="311">
        <v>2</v>
      </c>
      <c r="G384" s="9">
        <v>7</v>
      </c>
      <c r="H384" s="9">
        <v>5</v>
      </c>
      <c r="I384" s="324"/>
      <c r="J384" s="325"/>
    </row>
    <row r="385" spans="1:10" ht="12" outlineLevel="3" x14ac:dyDescent="0.2">
      <c r="A385" s="331">
        <v>245</v>
      </c>
      <c r="B385" s="315"/>
      <c r="C385" s="303" t="s">
        <v>414</v>
      </c>
      <c r="D385" s="305" t="s">
        <v>415</v>
      </c>
      <c r="E385" s="309">
        <f>H388</f>
        <v>1</v>
      </c>
      <c r="F385" s="311">
        <v>5380</v>
      </c>
      <c r="G385" s="8"/>
      <c r="H385" s="7">
        <v>9330</v>
      </c>
      <c r="I385" s="324"/>
      <c r="J385" s="325"/>
    </row>
    <row r="386" spans="1:10" ht="12" outlineLevel="3" x14ac:dyDescent="0.2">
      <c r="A386" s="331"/>
      <c r="B386" s="315"/>
      <c r="C386" s="303"/>
      <c r="D386" s="305"/>
      <c r="E386" s="309"/>
      <c r="F386" s="311">
        <v>1</v>
      </c>
      <c r="G386" s="8"/>
      <c r="H386" s="9">
        <v>2</v>
      </c>
      <c r="I386" s="324"/>
      <c r="J386" s="325"/>
    </row>
    <row r="387" spans="1:10" ht="12" outlineLevel="3" x14ac:dyDescent="0.2">
      <c r="A387" s="331">
        <v>246</v>
      </c>
      <c r="B387" s="315"/>
      <c r="C387" s="303" t="s">
        <v>416</v>
      </c>
      <c r="D387" s="305" t="s">
        <v>417</v>
      </c>
      <c r="E387" s="309">
        <f>H390</f>
        <v>1</v>
      </c>
      <c r="F387" s="311">
        <v>24583.33</v>
      </c>
      <c r="G387" s="8"/>
      <c r="H387" s="7">
        <v>5380</v>
      </c>
      <c r="I387" s="324"/>
      <c r="J387" s="325"/>
    </row>
    <row r="388" spans="1:10" ht="12" outlineLevel="3" x14ac:dyDescent="0.2">
      <c r="A388" s="331"/>
      <c r="B388" s="315"/>
      <c r="C388" s="303"/>
      <c r="D388" s="305"/>
      <c r="E388" s="309"/>
      <c r="F388" s="311">
        <v>1</v>
      </c>
      <c r="G388" s="8"/>
      <c r="H388" s="9">
        <v>1</v>
      </c>
      <c r="I388" s="324"/>
      <c r="J388" s="325"/>
    </row>
    <row r="389" spans="1:10" ht="12" outlineLevel="3" x14ac:dyDescent="0.2">
      <c r="A389" s="331">
        <v>247</v>
      </c>
      <c r="B389" s="315"/>
      <c r="C389" s="303" t="s">
        <v>418</v>
      </c>
      <c r="D389" s="305" t="s">
        <v>419</v>
      </c>
      <c r="E389" s="309">
        <f>H392</f>
        <v>2</v>
      </c>
      <c r="F389" s="311">
        <v>24035</v>
      </c>
      <c r="G389" s="8"/>
      <c r="H389" s="7">
        <v>24583.33</v>
      </c>
      <c r="I389" s="324"/>
      <c r="J389" s="325"/>
    </row>
    <row r="390" spans="1:10" ht="12" outlineLevel="3" x14ac:dyDescent="0.2">
      <c r="A390" s="331"/>
      <c r="B390" s="315"/>
      <c r="C390" s="303"/>
      <c r="D390" s="305"/>
      <c r="E390" s="309"/>
      <c r="F390" s="311">
        <v>2</v>
      </c>
      <c r="G390" s="8"/>
      <c r="H390" s="9">
        <v>1</v>
      </c>
      <c r="I390" s="324"/>
      <c r="J390" s="325"/>
    </row>
    <row r="391" spans="1:10" ht="12" outlineLevel="3" x14ac:dyDescent="0.2">
      <c r="A391" s="331">
        <v>248</v>
      </c>
      <c r="B391" s="315"/>
      <c r="C391" s="303" t="s">
        <v>420</v>
      </c>
      <c r="D391" s="305" t="s">
        <v>421</v>
      </c>
      <c r="E391" s="309">
        <f>H394</f>
        <v>1</v>
      </c>
      <c r="F391" s="311">
        <v>16105</v>
      </c>
      <c r="G391" s="8"/>
      <c r="H391" s="7">
        <v>24035</v>
      </c>
      <c r="I391" s="324"/>
      <c r="J391" s="325"/>
    </row>
    <row r="392" spans="1:10" ht="12" outlineLevel="3" x14ac:dyDescent="0.2">
      <c r="A392" s="331"/>
      <c r="B392" s="315"/>
      <c r="C392" s="303"/>
      <c r="D392" s="305"/>
      <c r="E392" s="309"/>
      <c r="F392" s="311">
        <v>1</v>
      </c>
      <c r="G392" s="8"/>
      <c r="H392" s="9">
        <v>2</v>
      </c>
      <c r="I392" s="324"/>
      <c r="J392" s="325"/>
    </row>
    <row r="393" spans="1:10" ht="12" outlineLevel="3" x14ac:dyDescent="0.2">
      <c r="A393" s="331">
        <v>249</v>
      </c>
      <c r="B393" s="315"/>
      <c r="C393" s="303" t="s">
        <v>422</v>
      </c>
      <c r="D393" s="305" t="s">
        <v>423</v>
      </c>
      <c r="E393" s="309">
        <v>1</v>
      </c>
      <c r="F393" s="311">
        <v>37083.33</v>
      </c>
      <c r="G393" s="8"/>
      <c r="H393" s="7">
        <v>16105</v>
      </c>
      <c r="I393" s="324"/>
      <c r="J393" s="325"/>
    </row>
    <row r="394" spans="1:10" ht="12" outlineLevel="3" x14ac:dyDescent="0.2">
      <c r="A394" s="331"/>
      <c r="B394" s="315"/>
      <c r="C394" s="303"/>
      <c r="D394" s="305"/>
      <c r="E394" s="309"/>
      <c r="F394" s="311">
        <v>1</v>
      </c>
      <c r="G394" s="8"/>
      <c r="H394" s="9">
        <v>1</v>
      </c>
      <c r="I394" s="324"/>
      <c r="J394" s="325"/>
    </row>
    <row r="395" spans="1:10" ht="12" outlineLevel="3" x14ac:dyDescent="0.2">
      <c r="A395" s="331">
        <v>253</v>
      </c>
      <c r="B395" s="315"/>
      <c r="C395" s="303" t="s">
        <v>430</v>
      </c>
      <c r="D395" s="305" t="s">
        <v>431</v>
      </c>
      <c r="E395" s="309">
        <v>1</v>
      </c>
      <c r="F395" s="311">
        <v>50537.5</v>
      </c>
      <c r="G395" s="8"/>
      <c r="H395" s="7">
        <v>3316.66</v>
      </c>
      <c r="I395" s="324"/>
      <c r="J395" s="325"/>
    </row>
    <row r="396" spans="1:10" ht="12" outlineLevel="3" x14ac:dyDescent="0.2">
      <c r="A396" s="331"/>
      <c r="B396" s="315"/>
      <c r="C396" s="303"/>
      <c r="D396" s="305"/>
      <c r="E396" s="309"/>
      <c r="F396" s="311">
        <v>1</v>
      </c>
      <c r="G396" s="8"/>
      <c r="H396" s="9">
        <v>2</v>
      </c>
      <c r="I396" s="324"/>
      <c r="J396" s="325"/>
    </row>
    <row r="397" spans="1:10" ht="12" outlineLevel="3" x14ac:dyDescent="0.2">
      <c r="A397" s="331">
        <v>255</v>
      </c>
      <c r="B397" s="315"/>
      <c r="C397" s="303" t="s">
        <v>434</v>
      </c>
      <c r="D397" s="305" t="s">
        <v>435</v>
      </c>
      <c r="E397" s="309">
        <v>1</v>
      </c>
      <c r="F397" s="311">
        <v>4408.33</v>
      </c>
      <c r="G397" s="8"/>
      <c r="H397" s="7">
        <v>4552.5</v>
      </c>
      <c r="I397" s="324"/>
      <c r="J397" s="325"/>
    </row>
    <row r="398" spans="1:10" ht="12" outlineLevel="3" x14ac:dyDescent="0.2">
      <c r="A398" s="332"/>
      <c r="B398" s="323"/>
      <c r="C398" s="304"/>
      <c r="D398" s="306"/>
      <c r="E398" s="320"/>
      <c r="F398" s="321">
        <v>1</v>
      </c>
      <c r="G398" s="16"/>
      <c r="H398" s="17">
        <v>1</v>
      </c>
      <c r="I398" s="329"/>
      <c r="J398" s="330"/>
    </row>
    <row r="399" spans="1:10" ht="12.75" customHeight="1" x14ac:dyDescent="0.2">
      <c r="G399" s="18"/>
      <c r="H399" s="18"/>
      <c r="I399" s="318"/>
      <c r="J399" s="319"/>
    </row>
    <row r="400" spans="1:10" ht="12.75" customHeight="1" x14ac:dyDescent="0.2">
      <c r="G400" s="19"/>
      <c r="H400" s="20"/>
      <c r="I400" s="318"/>
      <c r="J400" s="319"/>
    </row>
  </sheetData>
  <autoFilter ref="A3:J398"/>
  <mergeCells count="1585">
    <mergeCell ref="A3:A4"/>
    <mergeCell ref="B3:B4"/>
    <mergeCell ref="C3:C4"/>
    <mergeCell ref="D3:D4"/>
    <mergeCell ref="E3:E4"/>
    <mergeCell ref="F3:F4"/>
    <mergeCell ref="I3:I4"/>
    <mergeCell ref="J3:J4"/>
    <mergeCell ref="A5:A6"/>
    <mergeCell ref="B5:B6"/>
    <mergeCell ref="C5:C6"/>
    <mergeCell ref="D5:D6"/>
    <mergeCell ref="E5:E6"/>
    <mergeCell ref="F5:F6"/>
    <mergeCell ref="I5:I6"/>
    <mergeCell ref="J5:J6"/>
    <mergeCell ref="A7:A8"/>
    <mergeCell ref="B7:B8"/>
    <mergeCell ref="C7:C8"/>
    <mergeCell ref="D7:D8"/>
    <mergeCell ref="E7:E8"/>
    <mergeCell ref="F7:F8"/>
    <mergeCell ref="I7:I8"/>
    <mergeCell ref="J7:J8"/>
    <mergeCell ref="A9:A10"/>
    <mergeCell ref="B9:B10"/>
    <mergeCell ref="C9:C10"/>
    <mergeCell ref="D9:D10"/>
    <mergeCell ref="E9:E10"/>
    <mergeCell ref="F9:F10"/>
    <mergeCell ref="I9:I10"/>
    <mergeCell ref="J9:J10"/>
    <mergeCell ref="A11:A12"/>
    <mergeCell ref="B11:B12"/>
    <mergeCell ref="C11:C12"/>
    <mergeCell ref="D11:D12"/>
    <mergeCell ref="E11:E12"/>
    <mergeCell ref="F11:F12"/>
    <mergeCell ref="I11:I12"/>
    <mergeCell ref="J11:J12"/>
    <mergeCell ref="A13:A14"/>
    <mergeCell ref="B13:B14"/>
    <mergeCell ref="C13:C14"/>
    <mergeCell ref="D13:D14"/>
    <mergeCell ref="E13:E14"/>
    <mergeCell ref="F13:F14"/>
    <mergeCell ref="I13:I14"/>
    <mergeCell ref="J13:J14"/>
    <mergeCell ref="A15:A16"/>
    <mergeCell ref="B15:B16"/>
    <mergeCell ref="C15:C16"/>
    <mergeCell ref="D15:D16"/>
    <mergeCell ref="E15:E16"/>
    <mergeCell ref="F15:F16"/>
    <mergeCell ref="I15:I16"/>
    <mergeCell ref="J15:J16"/>
    <mergeCell ref="A17:A18"/>
    <mergeCell ref="B17:B18"/>
    <mergeCell ref="C17:C18"/>
    <mergeCell ref="D17:D18"/>
    <mergeCell ref="E17:E18"/>
    <mergeCell ref="F17:F18"/>
    <mergeCell ref="I17:I18"/>
    <mergeCell ref="J17:J18"/>
    <mergeCell ref="A19:A20"/>
    <mergeCell ref="B19:B20"/>
    <mergeCell ref="C19:C20"/>
    <mergeCell ref="D19:D20"/>
    <mergeCell ref="E19:E20"/>
    <mergeCell ref="F19:F20"/>
    <mergeCell ref="I19:I20"/>
    <mergeCell ref="J19:J20"/>
    <mergeCell ref="A21:A22"/>
    <mergeCell ref="B21:B22"/>
    <mergeCell ref="C21:C22"/>
    <mergeCell ref="D21:D22"/>
    <mergeCell ref="E21:E22"/>
    <mergeCell ref="F21:F22"/>
    <mergeCell ref="I21:I22"/>
    <mergeCell ref="J21:J22"/>
    <mergeCell ref="A23:A24"/>
    <mergeCell ref="B23:B24"/>
    <mergeCell ref="C23:C24"/>
    <mergeCell ref="D23:D24"/>
    <mergeCell ref="E23:E24"/>
    <mergeCell ref="F23:F24"/>
    <mergeCell ref="I23:I24"/>
    <mergeCell ref="J23:J24"/>
    <mergeCell ref="A25:A26"/>
    <mergeCell ref="B25:B26"/>
    <mergeCell ref="C25:C26"/>
    <mergeCell ref="D25:D26"/>
    <mergeCell ref="E25:E26"/>
    <mergeCell ref="F25:F26"/>
    <mergeCell ref="I25:I26"/>
    <mergeCell ref="J25:J26"/>
    <mergeCell ref="A27:A28"/>
    <mergeCell ref="B27:B28"/>
    <mergeCell ref="C27:C28"/>
    <mergeCell ref="D27:D28"/>
    <mergeCell ref="E27:E28"/>
    <mergeCell ref="F27:F28"/>
    <mergeCell ref="I27:I28"/>
    <mergeCell ref="J27:J28"/>
    <mergeCell ref="A29:A30"/>
    <mergeCell ref="B29:B30"/>
    <mergeCell ref="C29:C30"/>
    <mergeCell ref="D29:D30"/>
    <mergeCell ref="E29:E30"/>
    <mergeCell ref="F29:F30"/>
    <mergeCell ref="I29:I30"/>
    <mergeCell ref="J29:J30"/>
    <mergeCell ref="I33:I34"/>
    <mergeCell ref="J33:J34"/>
    <mergeCell ref="A31:A32"/>
    <mergeCell ref="B31:B32"/>
    <mergeCell ref="C31:C32"/>
    <mergeCell ref="D31:D32"/>
    <mergeCell ref="E31:E32"/>
    <mergeCell ref="F31:F32"/>
    <mergeCell ref="I35:I36"/>
    <mergeCell ref="J35:J36"/>
    <mergeCell ref="I31:I32"/>
    <mergeCell ref="J31:J32"/>
    <mergeCell ref="A33:A34"/>
    <mergeCell ref="B33:B34"/>
    <mergeCell ref="C33:C34"/>
    <mergeCell ref="D33:D34"/>
    <mergeCell ref="E33:E34"/>
    <mergeCell ref="F33:F34"/>
    <mergeCell ref="A35:A36"/>
    <mergeCell ref="B35:B36"/>
    <mergeCell ref="C35:C36"/>
    <mergeCell ref="D35:D36"/>
    <mergeCell ref="E35:E36"/>
    <mergeCell ref="F35:F36"/>
    <mergeCell ref="A37:A38"/>
    <mergeCell ref="B37:B38"/>
    <mergeCell ref="C37:C38"/>
    <mergeCell ref="D37:D38"/>
    <mergeCell ref="E37:E38"/>
    <mergeCell ref="F37:F38"/>
    <mergeCell ref="I37:I38"/>
    <mergeCell ref="J37:J38"/>
    <mergeCell ref="A39:A40"/>
    <mergeCell ref="B39:B40"/>
    <mergeCell ref="C39:C40"/>
    <mergeCell ref="D39:D40"/>
    <mergeCell ref="E39:E40"/>
    <mergeCell ref="F39:F40"/>
    <mergeCell ref="I39:I40"/>
    <mergeCell ref="J39:J40"/>
    <mergeCell ref="I41:I42"/>
    <mergeCell ref="J41:J42"/>
    <mergeCell ref="A41:A42"/>
    <mergeCell ref="B41:B42"/>
    <mergeCell ref="C41:C42"/>
    <mergeCell ref="D41:D42"/>
    <mergeCell ref="E41:E42"/>
    <mergeCell ref="F41:F42"/>
    <mergeCell ref="A43:A44"/>
    <mergeCell ref="B43:B44"/>
    <mergeCell ref="C43:C44"/>
    <mergeCell ref="D43:D44"/>
    <mergeCell ref="E43:E44"/>
    <mergeCell ref="F43:F44"/>
    <mergeCell ref="I43:I44"/>
    <mergeCell ref="J43:J44"/>
    <mergeCell ref="A45:A46"/>
    <mergeCell ref="B45:B46"/>
    <mergeCell ref="C45:C46"/>
    <mergeCell ref="D45:D46"/>
    <mergeCell ref="E45:E46"/>
    <mergeCell ref="F45:F46"/>
    <mergeCell ref="I45:I46"/>
    <mergeCell ref="J45:J46"/>
    <mergeCell ref="A47:A48"/>
    <mergeCell ref="B47:B48"/>
    <mergeCell ref="C47:C48"/>
    <mergeCell ref="D47:D48"/>
    <mergeCell ref="E47:E48"/>
    <mergeCell ref="F47:F48"/>
    <mergeCell ref="I47:I48"/>
    <mergeCell ref="J47:J48"/>
    <mergeCell ref="A49:A50"/>
    <mergeCell ref="B49:B50"/>
    <mergeCell ref="C49:C50"/>
    <mergeCell ref="D49:D50"/>
    <mergeCell ref="E49:E50"/>
    <mergeCell ref="F49:F50"/>
    <mergeCell ref="I49:I50"/>
    <mergeCell ref="J49:J50"/>
    <mergeCell ref="I51:I52"/>
    <mergeCell ref="J51:J52"/>
    <mergeCell ref="A51:A52"/>
    <mergeCell ref="B51:B52"/>
    <mergeCell ref="C51:C52"/>
    <mergeCell ref="D51:D52"/>
    <mergeCell ref="E51:E52"/>
    <mergeCell ref="F51:F52"/>
    <mergeCell ref="A55:A56"/>
    <mergeCell ref="B55:B56"/>
    <mergeCell ref="C55:C56"/>
    <mergeCell ref="D55:D56"/>
    <mergeCell ref="E55:E56"/>
    <mergeCell ref="F55:F56"/>
    <mergeCell ref="I55:I56"/>
    <mergeCell ref="J55:J56"/>
    <mergeCell ref="A57:A58"/>
    <mergeCell ref="B57:B58"/>
    <mergeCell ref="C57:C58"/>
    <mergeCell ref="D57:D58"/>
    <mergeCell ref="E57:E58"/>
    <mergeCell ref="F57:F58"/>
    <mergeCell ref="I57:I58"/>
    <mergeCell ref="J57:J58"/>
    <mergeCell ref="A59:A60"/>
    <mergeCell ref="B59:B60"/>
    <mergeCell ref="C59:C60"/>
    <mergeCell ref="D59:D60"/>
    <mergeCell ref="E59:E60"/>
    <mergeCell ref="F59:F60"/>
    <mergeCell ref="I59:I60"/>
    <mergeCell ref="J59:J60"/>
    <mergeCell ref="A61:A62"/>
    <mergeCell ref="B61:B62"/>
    <mergeCell ref="C61:C62"/>
    <mergeCell ref="D61:D62"/>
    <mergeCell ref="E61:E62"/>
    <mergeCell ref="F61:F62"/>
    <mergeCell ref="I61:I62"/>
    <mergeCell ref="J61:J62"/>
    <mergeCell ref="A63:A64"/>
    <mergeCell ref="B63:B64"/>
    <mergeCell ref="C63:C64"/>
    <mergeCell ref="D63:D64"/>
    <mergeCell ref="E63:E64"/>
    <mergeCell ref="F63:F64"/>
    <mergeCell ref="I63:I64"/>
    <mergeCell ref="J63:J64"/>
    <mergeCell ref="A65:A66"/>
    <mergeCell ref="B65:B66"/>
    <mergeCell ref="C65:C66"/>
    <mergeCell ref="D65:D66"/>
    <mergeCell ref="E65:E66"/>
    <mergeCell ref="F65:F66"/>
    <mergeCell ref="I65:I66"/>
    <mergeCell ref="J65:J66"/>
    <mergeCell ref="A67:A68"/>
    <mergeCell ref="B67:B68"/>
    <mergeCell ref="C67:C68"/>
    <mergeCell ref="D67:D68"/>
    <mergeCell ref="E67:E68"/>
    <mergeCell ref="F67:F68"/>
    <mergeCell ref="I67:I68"/>
    <mergeCell ref="J67:J68"/>
    <mergeCell ref="A69:A70"/>
    <mergeCell ref="B69:B70"/>
    <mergeCell ref="C69:C70"/>
    <mergeCell ref="D69:D70"/>
    <mergeCell ref="E69:E70"/>
    <mergeCell ref="F69:F70"/>
    <mergeCell ref="I69:I70"/>
    <mergeCell ref="J69:J70"/>
    <mergeCell ref="A71:A72"/>
    <mergeCell ref="B71:B72"/>
    <mergeCell ref="C71:C72"/>
    <mergeCell ref="D71:D72"/>
    <mergeCell ref="E71:E72"/>
    <mergeCell ref="F71:F72"/>
    <mergeCell ref="I71:I72"/>
    <mergeCell ref="J71:J72"/>
    <mergeCell ref="A73:A74"/>
    <mergeCell ref="B73:B74"/>
    <mergeCell ref="C73:C74"/>
    <mergeCell ref="D73:D74"/>
    <mergeCell ref="E73:E74"/>
    <mergeCell ref="F73:F74"/>
    <mergeCell ref="I73:I74"/>
    <mergeCell ref="J73:J74"/>
    <mergeCell ref="I77:I78"/>
    <mergeCell ref="J77:J78"/>
    <mergeCell ref="I75:I76"/>
    <mergeCell ref="J75:J76"/>
    <mergeCell ref="A75:A76"/>
    <mergeCell ref="B75:B76"/>
    <mergeCell ref="C75:C76"/>
    <mergeCell ref="D75:D76"/>
    <mergeCell ref="E75:E76"/>
    <mergeCell ref="F75:F76"/>
    <mergeCell ref="A77:A78"/>
    <mergeCell ref="B77:B78"/>
    <mergeCell ref="C77:C78"/>
    <mergeCell ref="D77:D78"/>
    <mergeCell ref="E77:E78"/>
    <mergeCell ref="F77:F78"/>
    <mergeCell ref="A79:A80"/>
    <mergeCell ref="B79:B80"/>
    <mergeCell ref="C79:C80"/>
    <mergeCell ref="D79:D80"/>
    <mergeCell ref="E79:E80"/>
    <mergeCell ref="F79:F80"/>
    <mergeCell ref="I79:I80"/>
    <mergeCell ref="J79:J80"/>
    <mergeCell ref="A81:A82"/>
    <mergeCell ref="B81:B82"/>
    <mergeCell ref="C81:C82"/>
    <mergeCell ref="D81:D82"/>
    <mergeCell ref="E81:E82"/>
    <mergeCell ref="F81:F82"/>
    <mergeCell ref="I81:I82"/>
    <mergeCell ref="J81:J82"/>
    <mergeCell ref="A83:A84"/>
    <mergeCell ref="B83:B84"/>
    <mergeCell ref="C83:C84"/>
    <mergeCell ref="D83:D84"/>
    <mergeCell ref="E83:E84"/>
    <mergeCell ref="F83:F84"/>
    <mergeCell ref="I83:I84"/>
    <mergeCell ref="J83:J84"/>
    <mergeCell ref="A85:A86"/>
    <mergeCell ref="B85:B86"/>
    <mergeCell ref="C85:C86"/>
    <mergeCell ref="D85:D86"/>
    <mergeCell ref="E85:E86"/>
    <mergeCell ref="F85:F86"/>
    <mergeCell ref="I85:I86"/>
    <mergeCell ref="J85:J86"/>
    <mergeCell ref="A87:A88"/>
    <mergeCell ref="B87:B88"/>
    <mergeCell ref="C87:C88"/>
    <mergeCell ref="D87:D88"/>
    <mergeCell ref="E87:E88"/>
    <mergeCell ref="F87:F88"/>
    <mergeCell ref="I87:I88"/>
    <mergeCell ref="J87:J88"/>
    <mergeCell ref="A89:A90"/>
    <mergeCell ref="B89:B90"/>
    <mergeCell ref="C89:C90"/>
    <mergeCell ref="D89:D90"/>
    <mergeCell ref="E89:E90"/>
    <mergeCell ref="F89:F90"/>
    <mergeCell ref="I89:I90"/>
    <mergeCell ref="J89:J90"/>
    <mergeCell ref="A91:A92"/>
    <mergeCell ref="B91:B92"/>
    <mergeCell ref="C91:C92"/>
    <mergeCell ref="D91:D92"/>
    <mergeCell ref="E91:E92"/>
    <mergeCell ref="F91:F92"/>
    <mergeCell ref="I91:I92"/>
    <mergeCell ref="J91:J92"/>
    <mergeCell ref="A93:A94"/>
    <mergeCell ref="B93:B94"/>
    <mergeCell ref="C93:C94"/>
    <mergeCell ref="D93:D94"/>
    <mergeCell ref="E93:E94"/>
    <mergeCell ref="F93:F94"/>
    <mergeCell ref="I93:I94"/>
    <mergeCell ref="J93:J94"/>
    <mergeCell ref="A95:A96"/>
    <mergeCell ref="B95:B96"/>
    <mergeCell ref="C95:C96"/>
    <mergeCell ref="D95:D96"/>
    <mergeCell ref="E95:E96"/>
    <mergeCell ref="F95:F96"/>
    <mergeCell ref="I95:I96"/>
    <mergeCell ref="J95:J96"/>
    <mergeCell ref="A97:A98"/>
    <mergeCell ref="B97:B98"/>
    <mergeCell ref="C97:C98"/>
    <mergeCell ref="D97:D98"/>
    <mergeCell ref="E97:E98"/>
    <mergeCell ref="F97:F98"/>
    <mergeCell ref="I97:I98"/>
    <mergeCell ref="J97:J98"/>
    <mergeCell ref="A99:A100"/>
    <mergeCell ref="B99:B100"/>
    <mergeCell ref="C99:C100"/>
    <mergeCell ref="D99:D100"/>
    <mergeCell ref="E99:E100"/>
    <mergeCell ref="F99:F100"/>
    <mergeCell ref="I99:I100"/>
    <mergeCell ref="J99:J100"/>
    <mergeCell ref="A101:A102"/>
    <mergeCell ref="B101:B102"/>
    <mergeCell ref="C101:C102"/>
    <mergeCell ref="D101:D102"/>
    <mergeCell ref="E101:E102"/>
    <mergeCell ref="F101:F102"/>
    <mergeCell ref="I101:I102"/>
    <mergeCell ref="J101:J102"/>
    <mergeCell ref="A103:A104"/>
    <mergeCell ref="B103:B104"/>
    <mergeCell ref="C103:C104"/>
    <mergeCell ref="D103:D104"/>
    <mergeCell ref="E103:E104"/>
    <mergeCell ref="F103:F104"/>
    <mergeCell ref="I103:I104"/>
    <mergeCell ref="J103:J104"/>
    <mergeCell ref="A105:A106"/>
    <mergeCell ref="B105:B106"/>
    <mergeCell ref="C105:C106"/>
    <mergeCell ref="D105:D106"/>
    <mergeCell ref="E105:E106"/>
    <mergeCell ref="F105:F106"/>
    <mergeCell ref="I105:I106"/>
    <mergeCell ref="J105:J106"/>
    <mergeCell ref="A107:A108"/>
    <mergeCell ref="B107:B108"/>
    <mergeCell ref="C107:C108"/>
    <mergeCell ref="D107:D108"/>
    <mergeCell ref="E107:E108"/>
    <mergeCell ref="F107:F108"/>
    <mergeCell ref="I107:I108"/>
    <mergeCell ref="J107:J108"/>
    <mergeCell ref="A109:A110"/>
    <mergeCell ref="B109:B110"/>
    <mergeCell ref="C109:C110"/>
    <mergeCell ref="D109:D110"/>
    <mergeCell ref="E109:E110"/>
    <mergeCell ref="F109:F110"/>
    <mergeCell ref="I109:I110"/>
    <mergeCell ref="J109:J110"/>
    <mergeCell ref="A111:A112"/>
    <mergeCell ref="B111:B112"/>
    <mergeCell ref="C111:C112"/>
    <mergeCell ref="D111:D112"/>
    <mergeCell ref="E111:E112"/>
    <mergeCell ref="F111:F112"/>
    <mergeCell ref="I111:I112"/>
    <mergeCell ref="J111:J112"/>
    <mergeCell ref="A113:A114"/>
    <mergeCell ref="B113:B114"/>
    <mergeCell ref="C113:C114"/>
    <mergeCell ref="D113:D114"/>
    <mergeCell ref="E113:E114"/>
    <mergeCell ref="F113:F114"/>
    <mergeCell ref="I113:I114"/>
    <mergeCell ref="J113:J114"/>
    <mergeCell ref="A115:A116"/>
    <mergeCell ref="B115:B116"/>
    <mergeCell ref="C115:C116"/>
    <mergeCell ref="D115:D116"/>
    <mergeCell ref="E115:E116"/>
    <mergeCell ref="F115:F116"/>
    <mergeCell ref="I115:I116"/>
    <mergeCell ref="J115:J116"/>
    <mergeCell ref="A117:A118"/>
    <mergeCell ref="B117:B118"/>
    <mergeCell ref="C117:C118"/>
    <mergeCell ref="D117:D118"/>
    <mergeCell ref="E117:E118"/>
    <mergeCell ref="F117:F118"/>
    <mergeCell ref="I117:I118"/>
    <mergeCell ref="J117:J118"/>
    <mergeCell ref="A119:A120"/>
    <mergeCell ref="B119:B120"/>
    <mergeCell ref="C119:C120"/>
    <mergeCell ref="D119:D120"/>
    <mergeCell ref="E119:E120"/>
    <mergeCell ref="F119:F120"/>
    <mergeCell ref="I119:I120"/>
    <mergeCell ref="J119:J120"/>
    <mergeCell ref="A121:A122"/>
    <mergeCell ref="B121:B122"/>
    <mergeCell ref="C121:C122"/>
    <mergeCell ref="D121:D122"/>
    <mergeCell ref="E121:E122"/>
    <mergeCell ref="F121:F122"/>
    <mergeCell ref="I121:I122"/>
    <mergeCell ref="J121:J122"/>
    <mergeCell ref="A123:A124"/>
    <mergeCell ref="B123:B124"/>
    <mergeCell ref="C123:C124"/>
    <mergeCell ref="D123:D124"/>
    <mergeCell ref="E123:E124"/>
    <mergeCell ref="F123:F124"/>
    <mergeCell ref="I123:I124"/>
    <mergeCell ref="J123:J124"/>
    <mergeCell ref="A125:A126"/>
    <mergeCell ref="B125:B126"/>
    <mergeCell ref="C125:C126"/>
    <mergeCell ref="D125:D126"/>
    <mergeCell ref="E125:E126"/>
    <mergeCell ref="F125:F126"/>
    <mergeCell ref="I125:I126"/>
    <mergeCell ref="J125:J126"/>
    <mergeCell ref="A127:A128"/>
    <mergeCell ref="B127:B128"/>
    <mergeCell ref="C127:C128"/>
    <mergeCell ref="D127:D128"/>
    <mergeCell ref="E127:E128"/>
    <mergeCell ref="F127:F128"/>
    <mergeCell ref="I127:I128"/>
    <mergeCell ref="J127:J128"/>
    <mergeCell ref="A129:A130"/>
    <mergeCell ref="B129:B130"/>
    <mergeCell ref="C129:C130"/>
    <mergeCell ref="D129:D130"/>
    <mergeCell ref="E129:E130"/>
    <mergeCell ref="F129:F130"/>
    <mergeCell ref="I129:I130"/>
    <mergeCell ref="J129:J130"/>
    <mergeCell ref="A131:A132"/>
    <mergeCell ref="B131:B132"/>
    <mergeCell ref="C131:C132"/>
    <mergeCell ref="D131:D132"/>
    <mergeCell ref="E131:E132"/>
    <mergeCell ref="F131:F132"/>
    <mergeCell ref="I131:I132"/>
    <mergeCell ref="J131:J132"/>
    <mergeCell ref="A133:A134"/>
    <mergeCell ref="B133:B134"/>
    <mergeCell ref="C133:C134"/>
    <mergeCell ref="D133:D134"/>
    <mergeCell ref="E133:E134"/>
    <mergeCell ref="F133:F134"/>
    <mergeCell ref="I133:I134"/>
    <mergeCell ref="J133:J134"/>
    <mergeCell ref="A135:A136"/>
    <mergeCell ref="B135:B136"/>
    <mergeCell ref="C135:C136"/>
    <mergeCell ref="D135:D136"/>
    <mergeCell ref="E135:E136"/>
    <mergeCell ref="F135:F136"/>
    <mergeCell ref="I135:I136"/>
    <mergeCell ref="J135:J136"/>
    <mergeCell ref="A137:A138"/>
    <mergeCell ref="B137:B138"/>
    <mergeCell ref="C137:C138"/>
    <mergeCell ref="D137:D138"/>
    <mergeCell ref="E137:E138"/>
    <mergeCell ref="F137:F138"/>
    <mergeCell ref="I137:I138"/>
    <mergeCell ref="J137:J138"/>
    <mergeCell ref="A139:A140"/>
    <mergeCell ref="B139:B140"/>
    <mergeCell ref="C139:C140"/>
    <mergeCell ref="D139:D140"/>
    <mergeCell ref="E139:E140"/>
    <mergeCell ref="F139:F140"/>
    <mergeCell ref="I139:I140"/>
    <mergeCell ref="J139:J140"/>
    <mergeCell ref="A141:A142"/>
    <mergeCell ref="B141:B142"/>
    <mergeCell ref="C141:C142"/>
    <mergeCell ref="D141:D142"/>
    <mergeCell ref="E141:E142"/>
    <mergeCell ref="F141:F142"/>
    <mergeCell ref="I141:I142"/>
    <mergeCell ref="J141:J142"/>
    <mergeCell ref="A143:A144"/>
    <mergeCell ref="B143:B144"/>
    <mergeCell ref="C143:C144"/>
    <mergeCell ref="D143:D144"/>
    <mergeCell ref="E143:E144"/>
    <mergeCell ref="F143:F144"/>
    <mergeCell ref="I143:I144"/>
    <mergeCell ref="J143:J144"/>
    <mergeCell ref="A145:A146"/>
    <mergeCell ref="B145:B146"/>
    <mergeCell ref="C145:C146"/>
    <mergeCell ref="D145:D146"/>
    <mergeCell ref="E145:E146"/>
    <mergeCell ref="F145:F146"/>
    <mergeCell ref="I145:I146"/>
    <mergeCell ref="J145:J146"/>
    <mergeCell ref="A147:A148"/>
    <mergeCell ref="B147:B148"/>
    <mergeCell ref="C147:C148"/>
    <mergeCell ref="D147:D148"/>
    <mergeCell ref="E147:E148"/>
    <mergeCell ref="F147:F148"/>
    <mergeCell ref="I147:I148"/>
    <mergeCell ref="J147:J148"/>
    <mergeCell ref="A149:A150"/>
    <mergeCell ref="B149:B150"/>
    <mergeCell ref="C149:C150"/>
    <mergeCell ref="D149:D150"/>
    <mergeCell ref="E149:E150"/>
    <mergeCell ref="F149:F150"/>
    <mergeCell ref="I149:I150"/>
    <mergeCell ref="J149:J150"/>
    <mergeCell ref="I153:I154"/>
    <mergeCell ref="J153:J154"/>
    <mergeCell ref="A151:A152"/>
    <mergeCell ref="B151:B152"/>
    <mergeCell ref="C151:C152"/>
    <mergeCell ref="D151:D152"/>
    <mergeCell ref="E151:E152"/>
    <mergeCell ref="F151:F152"/>
    <mergeCell ref="I155:I156"/>
    <mergeCell ref="J155:J156"/>
    <mergeCell ref="I151:I152"/>
    <mergeCell ref="J151:J152"/>
    <mergeCell ref="A153:A154"/>
    <mergeCell ref="B153:B154"/>
    <mergeCell ref="C153:C154"/>
    <mergeCell ref="D153:D154"/>
    <mergeCell ref="E153:E154"/>
    <mergeCell ref="F153:F154"/>
    <mergeCell ref="A155:A156"/>
    <mergeCell ref="B155:B156"/>
    <mergeCell ref="C155:C156"/>
    <mergeCell ref="D155:D156"/>
    <mergeCell ref="E155:E156"/>
    <mergeCell ref="F155:F156"/>
    <mergeCell ref="A157:A158"/>
    <mergeCell ref="B157:B158"/>
    <mergeCell ref="C157:C158"/>
    <mergeCell ref="D157:D158"/>
    <mergeCell ref="E157:E158"/>
    <mergeCell ref="F157:F158"/>
    <mergeCell ref="I157:I158"/>
    <mergeCell ref="J157:J158"/>
    <mergeCell ref="A159:A160"/>
    <mergeCell ref="B159:B160"/>
    <mergeCell ref="C159:C160"/>
    <mergeCell ref="D159:D160"/>
    <mergeCell ref="E159:E160"/>
    <mergeCell ref="F159:F160"/>
    <mergeCell ref="I159:I160"/>
    <mergeCell ref="J159:J160"/>
    <mergeCell ref="A161:A162"/>
    <mergeCell ref="B161:B162"/>
    <mergeCell ref="C161:C162"/>
    <mergeCell ref="D161:D162"/>
    <mergeCell ref="E161:E162"/>
    <mergeCell ref="F161:F162"/>
    <mergeCell ref="I161:I162"/>
    <mergeCell ref="J161:J162"/>
    <mergeCell ref="A163:A164"/>
    <mergeCell ref="B163:B164"/>
    <mergeCell ref="C163:C164"/>
    <mergeCell ref="D163:D164"/>
    <mergeCell ref="E163:E164"/>
    <mergeCell ref="F163:F164"/>
    <mergeCell ref="I163:I164"/>
    <mergeCell ref="J163:J164"/>
    <mergeCell ref="A165:A166"/>
    <mergeCell ref="B165:B166"/>
    <mergeCell ref="C165:C166"/>
    <mergeCell ref="D165:D166"/>
    <mergeCell ref="E165:E166"/>
    <mergeCell ref="F165:F166"/>
    <mergeCell ref="I165:I166"/>
    <mergeCell ref="J165:J166"/>
    <mergeCell ref="A167:A168"/>
    <mergeCell ref="B167:B168"/>
    <mergeCell ref="C167:C168"/>
    <mergeCell ref="D167:D168"/>
    <mergeCell ref="E167:E168"/>
    <mergeCell ref="F167:F168"/>
    <mergeCell ref="I167:I168"/>
    <mergeCell ref="J167:J168"/>
    <mergeCell ref="A169:A170"/>
    <mergeCell ref="B169:B170"/>
    <mergeCell ref="C169:C170"/>
    <mergeCell ref="D169:D170"/>
    <mergeCell ref="E169:E170"/>
    <mergeCell ref="F169:F170"/>
    <mergeCell ref="I169:I170"/>
    <mergeCell ref="J169:J170"/>
    <mergeCell ref="A171:A172"/>
    <mergeCell ref="B171:B172"/>
    <mergeCell ref="C171:C172"/>
    <mergeCell ref="D171:D172"/>
    <mergeCell ref="E171:E172"/>
    <mergeCell ref="F171:F172"/>
    <mergeCell ref="I171:I172"/>
    <mergeCell ref="J171:J172"/>
    <mergeCell ref="A173:A174"/>
    <mergeCell ref="B173:B174"/>
    <mergeCell ref="C173:C174"/>
    <mergeCell ref="D173:D174"/>
    <mergeCell ref="E173:E174"/>
    <mergeCell ref="F173:F174"/>
    <mergeCell ref="I173:I174"/>
    <mergeCell ref="J173:J174"/>
    <mergeCell ref="A175:A176"/>
    <mergeCell ref="B175:B176"/>
    <mergeCell ref="C175:C176"/>
    <mergeCell ref="D175:D176"/>
    <mergeCell ref="E175:E176"/>
    <mergeCell ref="F175:F176"/>
    <mergeCell ref="I175:I176"/>
    <mergeCell ref="J175:J176"/>
    <mergeCell ref="A177:A178"/>
    <mergeCell ref="B177:B178"/>
    <mergeCell ref="C177:C178"/>
    <mergeCell ref="D177:D178"/>
    <mergeCell ref="E177:E178"/>
    <mergeCell ref="F177:F178"/>
    <mergeCell ref="I177:I178"/>
    <mergeCell ref="J177:J178"/>
    <mergeCell ref="A179:A180"/>
    <mergeCell ref="B179:B180"/>
    <mergeCell ref="C179:C180"/>
    <mergeCell ref="D179:D180"/>
    <mergeCell ref="E179:E180"/>
    <mergeCell ref="F179:F180"/>
    <mergeCell ref="I179:I180"/>
    <mergeCell ref="J179:J180"/>
    <mergeCell ref="A181:A182"/>
    <mergeCell ref="B181:B182"/>
    <mergeCell ref="C181:C182"/>
    <mergeCell ref="D181:D182"/>
    <mergeCell ref="E181:E182"/>
    <mergeCell ref="F181:F182"/>
    <mergeCell ref="I181:I182"/>
    <mergeCell ref="J181:J182"/>
    <mergeCell ref="A183:A184"/>
    <mergeCell ref="B183:B184"/>
    <mergeCell ref="C183:C184"/>
    <mergeCell ref="D183:D184"/>
    <mergeCell ref="E183:E184"/>
    <mergeCell ref="F183:F184"/>
    <mergeCell ref="I183:I184"/>
    <mergeCell ref="J183:J184"/>
    <mergeCell ref="A185:A186"/>
    <mergeCell ref="B185:B186"/>
    <mergeCell ref="C185:C186"/>
    <mergeCell ref="D185:D186"/>
    <mergeCell ref="E185:E186"/>
    <mergeCell ref="F185:F186"/>
    <mergeCell ref="I185:I186"/>
    <mergeCell ref="J185:J186"/>
    <mergeCell ref="A187:A188"/>
    <mergeCell ref="B187:B188"/>
    <mergeCell ref="C187:C188"/>
    <mergeCell ref="D187:D188"/>
    <mergeCell ref="E187:E188"/>
    <mergeCell ref="F187:F188"/>
    <mergeCell ref="I187:I188"/>
    <mergeCell ref="J187:J188"/>
    <mergeCell ref="A189:A190"/>
    <mergeCell ref="B189:B190"/>
    <mergeCell ref="C189:C190"/>
    <mergeCell ref="D189:D190"/>
    <mergeCell ref="E189:E190"/>
    <mergeCell ref="F189:F190"/>
    <mergeCell ref="I189:I190"/>
    <mergeCell ref="J189:J190"/>
    <mergeCell ref="A191:A192"/>
    <mergeCell ref="B191:B192"/>
    <mergeCell ref="C191:C192"/>
    <mergeCell ref="D191:D192"/>
    <mergeCell ref="E191:E192"/>
    <mergeCell ref="F191:F192"/>
    <mergeCell ref="I191:I192"/>
    <mergeCell ref="J191:J192"/>
    <mergeCell ref="A193:A194"/>
    <mergeCell ref="B193:B194"/>
    <mergeCell ref="C193:C194"/>
    <mergeCell ref="D193:D194"/>
    <mergeCell ref="E193:E194"/>
    <mergeCell ref="F193:F194"/>
    <mergeCell ref="I193:I194"/>
    <mergeCell ref="J193:J194"/>
    <mergeCell ref="A195:A196"/>
    <mergeCell ref="B195:B196"/>
    <mergeCell ref="C195:C196"/>
    <mergeCell ref="D195:D196"/>
    <mergeCell ref="E195:E196"/>
    <mergeCell ref="F195:F196"/>
    <mergeCell ref="I195:I196"/>
    <mergeCell ref="J195:J196"/>
    <mergeCell ref="A197:A198"/>
    <mergeCell ref="B197:B198"/>
    <mergeCell ref="C197:C198"/>
    <mergeCell ref="D197:D198"/>
    <mergeCell ref="E197:E198"/>
    <mergeCell ref="F197:F198"/>
    <mergeCell ref="I197:I198"/>
    <mergeCell ref="J197:J198"/>
    <mergeCell ref="A199:A200"/>
    <mergeCell ref="B199:B200"/>
    <mergeCell ref="C199:C200"/>
    <mergeCell ref="D199:D200"/>
    <mergeCell ref="E199:E200"/>
    <mergeCell ref="F199:F200"/>
    <mergeCell ref="I199:I200"/>
    <mergeCell ref="J199:J200"/>
    <mergeCell ref="A201:A202"/>
    <mergeCell ref="B201:B202"/>
    <mergeCell ref="C201:C202"/>
    <mergeCell ref="D201:D202"/>
    <mergeCell ref="E201:E202"/>
    <mergeCell ref="F201:F202"/>
    <mergeCell ref="I201:I202"/>
    <mergeCell ref="J201:J202"/>
    <mergeCell ref="A203:A204"/>
    <mergeCell ref="B203:B204"/>
    <mergeCell ref="C203:C204"/>
    <mergeCell ref="D203:D204"/>
    <mergeCell ref="E203:E204"/>
    <mergeCell ref="F203:F204"/>
    <mergeCell ref="I203:I204"/>
    <mergeCell ref="J203:J204"/>
    <mergeCell ref="A205:A206"/>
    <mergeCell ref="B205:B206"/>
    <mergeCell ref="C205:C206"/>
    <mergeCell ref="D205:D206"/>
    <mergeCell ref="E205:E206"/>
    <mergeCell ref="F205:F206"/>
    <mergeCell ref="I205:I206"/>
    <mergeCell ref="J205:J206"/>
    <mergeCell ref="A207:A208"/>
    <mergeCell ref="B207:B208"/>
    <mergeCell ref="C207:C208"/>
    <mergeCell ref="D207:D208"/>
    <mergeCell ref="E207:E208"/>
    <mergeCell ref="F207:F208"/>
    <mergeCell ref="I207:I208"/>
    <mergeCell ref="J207:J208"/>
    <mergeCell ref="A209:A210"/>
    <mergeCell ref="B209:B210"/>
    <mergeCell ref="C209:C210"/>
    <mergeCell ref="D209:D210"/>
    <mergeCell ref="E209:E210"/>
    <mergeCell ref="F209:F210"/>
    <mergeCell ref="I209:I210"/>
    <mergeCell ref="J209:J210"/>
    <mergeCell ref="A211:A212"/>
    <mergeCell ref="B211:B212"/>
    <mergeCell ref="C211:C212"/>
    <mergeCell ref="D211:D212"/>
    <mergeCell ref="E211:E212"/>
    <mergeCell ref="F211:F212"/>
    <mergeCell ref="I211:I212"/>
    <mergeCell ref="J211:J212"/>
    <mergeCell ref="A213:A214"/>
    <mergeCell ref="B213:B214"/>
    <mergeCell ref="C213:C214"/>
    <mergeCell ref="D213:D214"/>
    <mergeCell ref="E213:E214"/>
    <mergeCell ref="F213:F214"/>
    <mergeCell ref="I213:I214"/>
    <mergeCell ref="J213:J214"/>
    <mergeCell ref="A215:A216"/>
    <mergeCell ref="B215:B216"/>
    <mergeCell ref="C215:C216"/>
    <mergeCell ref="D215:D216"/>
    <mergeCell ref="E215:E216"/>
    <mergeCell ref="F215:F216"/>
    <mergeCell ref="I215:I216"/>
    <mergeCell ref="J215:J216"/>
    <mergeCell ref="A217:A218"/>
    <mergeCell ref="B217:B218"/>
    <mergeCell ref="C217:C218"/>
    <mergeCell ref="D217:D218"/>
    <mergeCell ref="E217:E218"/>
    <mergeCell ref="F217:F218"/>
    <mergeCell ref="I217:I218"/>
    <mergeCell ref="J217:J218"/>
    <mergeCell ref="A219:A220"/>
    <mergeCell ref="B219:B220"/>
    <mergeCell ref="C219:C220"/>
    <mergeCell ref="D219:D220"/>
    <mergeCell ref="E219:E220"/>
    <mergeCell ref="F219:F220"/>
    <mergeCell ref="I219:I220"/>
    <mergeCell ref="J219:J220"/>
    <mergeCell ref="A221:A222"/>
    <mergeCell ref="B221:B222"/>
    <mergeCell ref="C221:C222"/>
    <mergeCell ref="D221:D222"/>
    <mergeCell ref="E221:E222"/>
    <mergeCell ref="F221:F222"/>
    <mergeCell ref="I221:I222"/>
    <mergeCell ref="J221:J222"/>
    <mergeCell ref="A223:A224"/>
    <mergeCell ref="B223:B224"/>
    <mergeCell ref="C223:C224"/>
    <mergeCell ref="D223:D224"/>
    <mergeCell ref="E223:E224"/>
    <mergeCell ref="F223:F224"/>
    <mergeCell ref="I223:I224"/>
    <mergeCell ref="J223:J224"/>
    <mergeCell ref="A225:A226"/>
    <mergeCell ref="B225:B226"/>
    <mergeCell ref="C225:C226"/>
    <mergeCell ref="D225:D226"/>
    <mergeCell ref="E225:E226"/>
    <mergeCell ref="F225:F226"/>
    <mergeCell ref="I225:I226"/>
    <mergeCell ref="J225:J226"/>
    <mergeCell ref="A227:A228"/>
    <mergeCell ref="B227:B228"/>
    <mergeCell ref="C227:C228"/>
    <mergeCell ref="D227:D228"/>
    <mergeCell ref="E227:E228"/>
    <mergeCell ref="F227:F228"/>
    <mergeCell ref="I227:I228"/>
    <mergeCell ref="J227:J228"/>
    <mergeCell ref="A229:A230"/>
    <mergeCell ref="B229:B230"/>
    <mergeCell ref="C229:C230"/>
    <mergeCell ref="D229:D230"/>
    <mergeCell ref="E229:E230"/>
    <mergeCell ref="F229:F230"/>
    <mergeCell ref="I229:I230"/>
    <mergeCell ref="J229:J230"/>
    <mergeCell ref="A231:A232"/>
    <mergeCell ref="B231:B232"/>
    <mergeCell ref="C231:C232"/>
    <mergeCell ref="D231:D232"/>
    <mergeCell ref="E231:E232"/>
    <mergeCell ref="F231:F232"/>
    <mergeCell ref="I231:I232"/>
    <mergeCell ref="J231:J232"/>
    <mergeCell ref="A233:A234"/>
    <mergeCell ref="B233:B234"/>
    <mergeCell ref="C233:C234"/>
    <mergeCell ref="D233:D234"/>
    <mergeCell ref="E233:E234"/>
    <mergeCell ref="F233:F234"/>
    <mergeCell ref="I233:I234"/>
    <mergeCell ref="J233:J234"/>
    <mergeCell ref="A235:A236"/>
    <mergeCell ref="B235:B236"/>
    <mergeCell ref="C235:C236"/>
    <mergeCell ref="D235:D236"/>
    <mergeCell ref="E235:E236"/>
    <mergeCell ref="F235:F236"/>
    <mergeCell ref="I235:I236"/>
    <mergeCell ref="J235:J236"/>
    <mergeCell ref="A237:A238"/>
    <mergeCell ref="B237:B238"/>
    <mergeCell ref="C237:C238"/>
    <mergeCell ref="D237:D238"/>
    <mergeCell ref="E237:E238"/>
    <mergeCell ref="F237:F238"/>
    <mergeCell ref="I237:I238"/>
    <mergeCell ref="J237:J238"/>
    <mergeCell ref="A239:A240"/>
    <mergeCell ref="B239:B240"/>
    <mergeCell ref="C239:C240"/>
    <mergeCell ref="D239:D240"/>
    <mergeCell ref="E239:E240"/>
    <mergeCell ref="F239:F240"/>
    <mergeCell ref="I239:I240"/>
    <mergeCell ref="J239:J240"/>
    <mergeCell ref="A241:A242"/>
    <mergeCell ref="B241:B242"/>
    <mergeCell ref="C241:C242"/>
    <mergeCell ref="D241:D242"/>
    <mergeCell ref="E241:E242"/>
    <mergeCell ref="F241:F242"/>
    <mergeCell ref="I241:I242"/>
    <mergeCell ref="J241:J242"/>
    <mergeCell ref="A243:A244"/>
    <mergeCell ref="B243:B244"/>
    <mergeCell ref="C243:C244"/>
    <mergeCell ref="D243:D244"/>
    <mergeCell ref="E243:E244"/>
    <mergeCell ref="F243:F244"/>
    <mergeCell ref="I243:I244"/>
    <mergeCell ref="J243:J244"/>
    <mergeCell ref="A245:A246"/>
    <mergeCell ref="B245:B246"/>
    <mergeCell ref="C245:C246"/>
    <mergeCell ref="D245:D246"/>
    <mergeCell ref="E245:E246"/>
    <mergeCell ref="F245:F246"/>
    <mergeCell ref="I245:I246"/>
    <mergeCell ref="J245:J246"/>
    <mergeCell ref="A247:A248"/>
    <mergeCell ref="B247:B248"/>
    <mergeCell ref="C247:C248"/>
    <mergeCell ref="D247:D248"/>
    <mergeCell ref="E247:E248"/>
    <mergeCell ref="F247:F248"/>
    <mergeCell ref="I247:I248"/>
    <mergeCell ref="J247:J248"/>
    <mergeCell ref="A249:A250"/>
    <mergeCell ref="B249:B250"/>
    <mergeCell ref="C249:C250"/>
    <mergeCell ref="D249:D250"/>
    <mergeCell ref="E249:E250"/>
    <mergeCell ref="F249:F250"/>
    <mergeCell ref="I249:I250"/>
    <mergeCell ref="J249:J250"/>
    <mergeCell ref="A251:A252"/>
    <mergeCell ref="B251:B252"/>
    <mergeCell ref="C251:C252"/>
    <mergeCell ref="D251:D252"/>
    <mergeCell ref="E251:E252"/>
    <mergeCell ref="F251:F252"/>
    <mergeCell ref="I251:I252"/>
    <mergeCell ref="J251:J252"/>
    <mergeCell ref="A253:A254"/>
    <mergeCell ref="B253:B254"/>
    <mergeCell ref="C253:C254"/>
    <mergeCell ref="D253:D254"/>
    <mergeCell ref="E253:E254"/>
    <mergeCell ref="F253:F254"/>
    <mergeCell ref="I253:I254"/>
    <mergeCell ref="J253:J254"/>
    <mergeCell ref="A255:A256"/>
    <mergeCell ref="B255:B256"/>
    <mergeCell ref="C255:C256"/>
    <mergeCell ref="D255:D256"/>
    <mergeCell ref="E255:E256"/>
    <mergeCell ref="F255:F256"/>
    <mergeCell ref="I255:I256"/>
    <mergeCell ref="J255:J256"/>
    <mergeCell ref="A257:A258"/>
    <mergeCell ref="B257:B258"/>
    <mergeCell ref="C257:C258"/>
    <mergeCell ref="D257:D258"/>
    <mergeCell ref="E257:E258"/>
    <mergeCell ref="F257:F258"/>
    <mergeCell ref="I257:I258"/>
    <mergeCell ref="J257:J258"/>
    <mergeCell ref="A259:A260"/>
    <mergeCell ref="B259:B260"/>
    <mergeCell ref="C259:C260"/>
    <mergeCell ref="D259:D260"/>
    <mergeCell ref="E259:E260"/>
    <mergeCell ref="F259:F260"/>
    <mergeCell ref="I259:I260"/>
    <mergeCell ref="J259:J260"/>
    <mergeCell ref="A261:A262"/>
    <mergeCell ref="B261:B262"/>
    <mergeCell ref="C261:C262"/>
    <mergeCell ref="D261:D262"/>
    <mergeCell ref="E261:E262"/>
    <mergeCell ref="F261:F262"/>
    <mergeCell ref="I261:I262"/>
    <mergeCell ref="J261:J262"/>
    <mergeCell ref="A263:A264"/>
    <mergeCell ref="B263:B264"/>
    <mergeCell ref="C263:C264"/>
    <mergeCell ref="D263:D264"/>
    <mergeCell ref="E263:E264"/>
    <mergeCell ref="F263:F264"/>
    <mergeCell ref="I263:I264"/>
    <mergeCell ref="J263:J264"/>
    <mergeCell ref="A265:A266"/>
    <mergeCell ref="B265:B266"/>
    <mergeCell ref="C265:C266"/>
    <mergeCell ref="D265:D266"/>
    <mergeCell ref="E265:E266"/>
    <mergeCell ref="F265:F266"/>
    <mergeCell ref="I265:I266"/>
    <mergeCell ref="J265:J266"/>
    <mergeCell ref="A267:A268"/>
    <mergeCell ref="B267:B268"/>
    <mergeCell ref="C267:C268"/>
    <mergeCell ref="D267:D268"/>
    <mergeCell ref="E267:E268"/>
    <mergeCell ref="F267:F268"/>
    <mergeCell ref="I267:I268"/>
    <mergeCell ref="J267:J268"/>
    <mergeCell ref="A269:A270"/>
    <mergeCell ref="B269:B270"/>
    <mergeCell ref="C269:C270"/>
    <mergeCell ref="D269:D270"/>
    <mergeCell ref="E269:E270"/>
    <mergeCell ref="F269:F270"/>
    <mergeCell ref="I269:I270"/>
    <mergeCell ref="J269:J270"/>
    <mergeCell ref="A271:A272"/>
    <mergeCell ref="B271:B272"/>
    <mergeCell ref="C271:C272"/>
    <mergeCell ref="D271:D272"/>
    <mergeCell ref="E271:E272"/>
    <mergeCell ref="F271:F272"/>
    <mergeCell ref="I271:I272"/>
    <mergeCell ref="J271:J272"/>
    <mergeCell ref="A273:A274"/>
    <mergeCell ref="B273:B274"/>
    <mergeCell ref="C273:C274"/>
    <mergeCell ref="D273:D274"/>
    <mergeCell ref="E273:E274"/>
    <mergeCell ref="F273:F274"/>
    <mergeCell ref="I273:I274"/>
    <mergeCell ref="J273:J274"/>
    <mergeCell ref="A275:A276"/>
    <mergeCell ref="B275:B276"/>
    <mergeCell ref="C275:C276"/>
    <mergeCell ref="D275:D276"/>
    <mergeCell ref="E275:E276"/>
    <mergeCell ref="F275:F276"/>
    <mergeCell ref="I275:I276"/>
    <mergeCell ref="J275:J276"/>
    <mergeCell ref="A277:A278"/>
    <mergeCell ref="B277:B278"/>
    <mergeCell ref="C277:C278"/>
    <mergeCell ref="D277:D278"/>
    <mergeCell ref="E277:E278"/>
    <mergeCell ref="F277:F278"/>
    <mergeCell ref="I277:I278"/>
    <mergeCell ref="J277:J278"/>
    <mergeCell ref="A279:A280"/>
    <mergeCell ref="B279:B280"/>
    <mergeCell ref="C279:C280"/>
    <mergeCell ref="D279:D280"/>
    <mergeCell ref="E279:E280"/>
    <mergeCell ref="F279:F280"/>
    <mergeCell ref="I279:I280"/>
    <mergeCell ref="J279:J280"/>
    <mergeCell ref="A281:A282"/>
    <mergeCell ref="B281:B282"/>
    <mergeCell ref="C281:C282"/>
    <mergeCell ref="D281:D282"/>
    <mergeCell ref="E281:E282"/>
    <mergeCell ref="F281:F282"/>
    <mergeCell ref="I281:I282"/>
    <mergeCell ref="J281:J282"/>
    <mergeCell ref="A283:A284"/>
    <mergeCell ref="B283:B284"/>
    <mergeCell ref="C283:C284"/>
    <mergeCell ref="D283:D284"/>
    <mergeCell ref="E283:E284"/>
    <mergeCell ref="F283:F284"/>
    <mergeCell ref="I283:I284"/>
    <mergeCell ref="J283:J284"/>
    <mergeCell ref="A285:A286"/>
    <mergeCell ref="B285:B286"/>
    <mergeCell ref="C285:C286"/>
    <mergeCell ref="D285:D286"/>
    <mergeCell ref="E285:E286"/>
    <mergeCell ref="F285:F286"/>
    <mergeCell ref="I285:I286"/>
    <mergeCell ref="J285:J286"/>
    <mergeCell ref="A287:A288"/>
    <mergeCell ref="B287:B288"/>
    <mergeCell ref="C287:C288"/>
    <mergeCell ref="D287:D288"/>
    <mergeCell ref="E287:E288"/>
    <mergeCell ref="F287:F288"/>
    <mergeCell ref="I287:I288"/>
    <mergeCell ref="J287:J288"/>
    <mergeCell ref="A289:A290"/>
    <mergeCell ref="B289:B290"/>
    <mergeCell ref="C289:C290"/>
    <mergeCell ref="D289:D290"/>
    <mergeCell ref="E289:E290"/>
    <mergeCell ref="F289:F290"/>
    <mergeCell ref="I289:I290"/>
    <mergeCell ref="J289:J290"/>
    <mergeCell ref="A291:A292"/>
    <mergeCell ref="B291:B292"/>
    <mergeCell ref="C291:C292"/>
    <mergeCell ref="D291:D292"/>
    <mergeCell ref="E291:E292"/>
    <mergeCell ref="F291:F292"/>
    <mergeCell ref="I291:I292"/>
    <mergeCell ref="J291:J292"/>
    <mergeCell ref="A293:A294"/>
    <mergeCell ref="B293:B294"/>
    <mergeCell ref="C293:C294"/>
    <mergeCell ref="D293:D294"/>
    <mergeCell ref="E293:E294"/>
    <mergeCell ref="F293:F294"/>
    <mergeCell ref="I293:I294"/>
    <mergeCell ref="J293:J294"/>
    <mergeCell ref="A295:A296"/>
    <mergeCell ref="B295:B296"/>
    <mergeCell ref="C295:C296"/>
    <mergeCell ref="D295:D296"/>
    <mergeCell ref="E295:E296"/>
    <mergeCell ref="F295:F296"/>
    <mergeCell ref="I295:I296"/>
    <mergeCell ref="J295:J296"/>
    <mergeCell ref="A297:A298"/>
    <mergeCell ref="B297:B298"/>
    <mergeCell ref="C297:C298"/>
    <mergeCell ref="D297:D298"/>
    <mergeCell ref="E297:E298"/>
    <mergeCell ref="F297:F298"/>
    <mergeCell ref="I297:I298"/>
    <mergeCell ref="J297:J298"/>
    <mergeCell ref="A299:A300"/>
    <mergeCell ref="B299:B300"/>
    <mergeCell ref="C299:C300"/>
    <mergeCell ref="D299:D300"/>
    <mergeCell ref="E299:E300"/>
    <mergeCell ref="F299:F300"/>
    <mergeCell ref="I299:I300"/>
    <mergeCell ref="J299:J300"/>
    <mergeCell ref="A301:A302"/>
    <mergeCell ref="B301:B302"/>
    <mergeCell ref="C301:C302"/>
    <mergeCell ref="D301:D302"/>
    <mergeCell ref="E301:E302"/>
    <mergeCell ref="F301:F302"/>
    <mergeCell ref="I301:I302"/>
    <mergeCell ref="J301:J302"/>
    <mergeCell ref="A303:A304"/>
    <mergeCell ref="B303:B304"/>
    <mergeCell ref="C303:C304"/>
    <mergeCell ref="D303:D304"/>
    <mergeCell ref="E303:E304"/>
    <mergeCell ref="F303:F304"/>
    <mergeCell ref="I303:I304"/>
    <mergeCell ref="J303:J304"/>
    <mergeCell ref="A305:A306"/>
    <mergeCell ref="B305:B306"/>
    <mergeCell ref="C305:C306"/>
    <mergeCell ref="D305:D306"/>
    <mergeCell ref="E305:E306"/>
    <mergeCell ref="F305:F306"/>
    <mergeCell ref="I305:I306"/>
    <mergeCell ref="J305:J306"/>
    <mergeCell ref="A307:A308"/>
    <mergeCell ref="B307:B308"/>
    <mergeCell ref="C307:C308"/>
    <mergeCell ref="D307:D308"/>
    <mergeCell ref="E307:E308"/>
    <mergeCell ref="F307:F308"/>
    <mergeCell ref="I307:I308"/>
    <mergeCell ref="J307:J308"/>
    <mergeCell ref="A309:A310"/>
    <mergeCell ref="B309:B310"/>
    <mergeCell ref="C309:C310"/>
    <mergeCell ref="D309:D310"/>
    <mergeCell ref="E309:E310"/>
    <mergeCell ref="F309:F310"/>
    <mergeCell ref="I309:I310"/>
    <mergeCell ref="J309:J310"/>
    <mergeCell ref="A311:A312"/>
    <mergeCell ref="B311:B312"/>
    <mergeCell ref="C311:C312"/>
    <mergeCell ref="D311:D312"/>
    <mergeCell ref="E311:E312"/>
    <mergeCell ref="F311:F312"/>
    <mergeCell ref="I311:I312"/>
    <mergeCell ref="J311:J312"/>
    <mergeCell ref="A313:A314"/>
    <mergeCell ref="B313:B314"/>
    <mergeCell ref="C313:C314"/>
    <mergeCell ref="D313:D314"/>
    <mergeCell ref="E313:E314"/>
    <mergeCell ref="F313:F314"/>
    <mergeCell ref="I313:I314"/>
    <mergeCell ref="J313:J314"/>
    <mergeCell ref="A315:A316"/>
    <mergeCell ref="B315:B316"/>
    <mergeCell ref="C315:C316"/>
    <mergeCell ref="D315:D316"/>
    <mergeCell ref="E315:E316"/>
    <mergeCell ref="F315:F316"/>
    <mergeCell ref="I315:I316"/>
    <mergeCell ref="J315:J316"/>
    <mergeCell ref="A317:A318"/>
    <mergeCell ref="B317:B318"/>
    <mergeCell ref="C317:C318"/>
    <mergeCell ref="D317:D318"/>
    <mergeCell ref="E317:E318"/>
    <mergeCell ref="F317:F318"/>
    <mergeCell ref="I317:I318"/>
    <mergeCell ref="J317:J318"/>
    <mergeCell ref="A319:A320"/>
    <mergeCell ref="B319:B320"/>
    <mergeCell ref="C319:C320"/>
    <mergeCell ref="D319:D320"/>
    <mergeCell ref="E319:E320"/>
    <mergeCell ref="F319:F320"/>
    <mergeCell ref="I319:I320"/>
    <mergeCell ref="J319:J320"/>
    <mergeCell ref="A321:A322"/>
    <mergeCell ref="B321:B322"/>
    <mergeCell ref="C321:C322"/>
    <mergeCell ref="D321:D322"/>
    <mergeCell ref="E321:E322"/>
    <mergeCell ref="F321:F322"/>
    <mergeCell ref="I321:I322"/>
    <mergeCell ref="J321:J322"/>
    <mergeCell ref="A323:A324"/>
    <mergeCell ref="B323:B324"/>
    <mergeCell ref="C323:C324"/>
    <mergeCell ref="D323:D324"/>
    <mergeCell ref="E323:E324"/>
    <mergeCell ref="F323:F324"/>
    <mergeCell ref="I323:I324"/>
    <mergeCell ref="J323:J324"/>
    <mergeCell ref="A325:A326"/>
    <mergeCell ref="B325:B326"/>
    <mergeCell ref="C325:C326"/>
    <mergeCell ref="D325:D326"/>
    <mergeCell ref="E325:E326"/>
    <mergeCell ref="F325:F326"/>
    <mergeCell ref="I325:I326"/>
    <mergeCell ref="J325:J326"/>
    <mergeCell ref="I329:I330"/>
    <mergeCell ref="J329:J330"/>
    <mergeCell ref="A327:A328"/>
    <mergeCell ref="B327:B328"/>
    <mergeCell ref="C327:C328"/>
    <mergeCell ref="D327:D328"/>
    <mergeCell ref="E327:E328"/>
    <mergeCell ref="F327:F328"/>
    <mergeCell ref="I331:I332"/>
    <mergeCell ref="J331:J332"/>
    <mergeCell ref="I327:I328"/>
    <mergeCell ref="J327:J328"/>
    <mergeCell ref="A329:A330"/>
    <mergeCell ref="B329:B330"/>
    <mergeCell ref="C329:C330"/>
    <mergeCell ref="D329:D330"/>
    <mergeCell ref="E329:E330"/>
    <mergeCell ref="F329:F330"/>
    <mergeCell ref="A331:A332"/>
    <mergeCell ref="B331:B332"/>
    <mergeCell ref="C331:C332"/>
    <mergeCell ref="D331:D332"/>
    <mergeCell ref="E331:E332"/>
    <mergeCell ref="F331:F332"/>
    <mergeCell ref="A333:A334"/>
    <mergeCell ref="B333:B334"/>
    <mergeCell ref="C333:C334"/>
    <mergeCell ref="D333:D334"/>
    <mergeCell ref="E333:E334"/>
    <mergeCell ref="F333:F334"/>
    <mergeCell ref="I333:I334"/>
    <mergeCell ref="J333:J334"/>
    <mergeCell ref="A335:A336"/>
    <mergeCell ref="B335:B336"/>
    <mergeCell ref="C335:C336"/>
    <mergeCell ref="D335:D336"/>
    <mergeCell ref="E335:E336"/>
    <mergeCell ref="F335:F336"/>
    <mergeCell ref="I335:I336"/>
    <mergeCell ref="J335:J336"/>
    <mergeCell ref="A337:A338"/>
    <mergeCell ref="B337:B338"/>
    <mergeCell ref="C337:C338"/>
    <mergeCell ref="D337:D338"/>
    <mergeCell ref="E337:E338"/>
    <mergeCell ref="F337:F338"/>
    <mergeCell ref="I337:I338"/>
    <mergeCell ref="J337:J338"/>
    <mergeCell ref="A339:A340"/>
    <mergeCell ref="B339:B340"/>
    <mergeCell ref="C339:C340"/>
    <mergeCell ref="D339:D340"/>
    <mergeCell ref="E339:E340"/>
    <mergeCell ref="F339:F340"/>
    <mergeCell ref="I339:I340"/>
    <mergeCell ref="J339:J340"/>
    <mergeCell ref="A341:A342"/>
    <mergeCell ref="B341:B342"/>
    <mergeCell ref="C341:C342"/>
    <mergeCell ref="D341:D342"/>
    <mergeCell ref="E341:E342"/>
    <mergeCell ref="F341:F342"/>
    <mergeCell ref="I341:I342"/>
    <mergeCell ref="J341:J342"/>
    <mergeCell ref="A343:A344"/>
    <mergeCell ref="B343:B344"/>
    <mergeCell ref="C343:C344"/>
    <mergeCell ref="D343:D344"/>
    <mergeCell ref="E343:E344"/>
    <mergeCell ref="F343:F344"/>
    <mergeCell ref="I343:I344"/>
    <mergeCell ref="J343:J344"/>
    <mergeCell ref="I345:I346"/>
    <mergeCell ref="J345:J346"/>
    <mergeCell ref="A345:A346"/>
    <mergeCell ref="B345:B346"/>
    <mergeCell ref="C345:C346"/>
    <mergeCell ref="D345:D346"/>
    <mergeCell ref="E345:E346"/>
    <mergeCell ref="F345:F346"/>
    <mergeCell ref="A347:A348"/>
    <mergeCell ref="B347:B348"/>
    <mergeCell ref="C347:C348"/>
    <mergeCell ref="D347:D348"/>
    <mergeCell ref="E347:E348"/>
    <mergeCell ref="F347:F348"/>
    <mergeCell ref="I349:I350"/>
    <mergeCell ref="J349:J350"/>
    <mergeCell ref="A349:A350"/>
    <mergeCell ref="B349:B350"/>
    <mergeCell ref="C349:C350"/>
    <mergeCell ref="D349:D350"/>
    <mergeCell ref="E349:E350"/>
    <mergeCell ref="F349:F350"/>
    <mergeCell ref="I353:I354"/>
    <mergeCell ref="J353:J354"/>
    <mergeCell ref="A351:A352"/>
    <mergeCell ref="B351:B352"/>
    <mergeCell ref="C351:C352"/>
    <mergeCell ref="D351:D352"/>
    <mergeCell ref="E351:E352"/>
    <mergeCell ref="F351:F352"/>
    <mergeCell ref="I351:I352"/>
    <mergeCell ref="J351:J352"/>
    <mergeCell ref="A353:A354"/>
    <mergeCell ref="B353:B354"/>
    <mergeCell ref="C353:C354"/>
    <mergeCell ref="D353:D354"/>
    <mergeCell ref="E353:E354"/>
    <mergeCell ref="F353:F354"/>
    <mergeCell ref="I355:I356"/>
    <mergeCell ref="J355:J356"/>
    <mergeCell ref="A355:A356"/>
    <mergeCell ref="B355:B356"/>
    <mergeCell ref="C355:C356"/>
    <mergeCell ref="D355:D356"/>
    <mergeCell ref="E355:E356"/>
    <mergeCell ref="F355:F356"/>
    <mergeCell ref="I361:I362"/>
    <mergeCell ref="J361:J362"/>
    <mergeCell ref="A357:A358"/>
    <mergeCell ref="B357:B358"/>
    <mergeCell ref="C357:C358"/>
    <mergeCell ref="D357:D358"/>
    <mergeCell ref="E357:E358"/>
    <mergeCell ref="F357:F358"/>
    <mergeCell ref="I357:I358"/>
    <mergeCell ref="J357:J358"/>
    <mergeCell ref="I359:I360"/>
    <mergeCell ref="J359:J360"/>
    <mergeCell ref="A359:A360"/>
    <mergeCell ref="B359:B360"/>
    <mergeCell ref="C359:C360"/>
    <mergeCell ref="D359:D360"/>
    <mergeCell ref="E359:E360"/>
    <mergeCell ref="F359:F360"/>
    <mergeCell ref="A361:A362"/>
    <mergeCell ref="B361:B362"/>
    <mergeCell ref="C361:C362"/>
    <mergeCell ref="D361:D362"/>
    <mergeCell ref="E361:E362"/>
    <mergeCell ref="F361:F362"/>
    <mergeCell ref="I363:I364"/>
    <mergeCell ref="J363:J364"/>
    <mergeCell ref="A363:A364"/>
    <mergeCell ref="B363:B364"/>
    <mergeCell ref="C363:C364"/>
    <mergeCell ref="D363:D364"/>
    <mergeCell ref="E363:E364"/>
    <mergeCell ref="F363:F364"/>
    <mergeCell ref="I365:I366"/>
    <mergeCell ref="J365:J366"/>
    <mergeCell ref="A365:A366"/>
    <mergeCell ref="B365:B366"/>
    <mergeCell ref="C365:C366"/>
    <mergeCell ref="D365:D366"/>
    <mergeCell ref="E365:E366"/>
    <mergeCell ref="F365:F366"/>
    <mergeCell ref="I369:I370"/>
    <mergeCell ref="J369:J370"/>
    <mergeCell ref="A367:A368"/>
    <mergeCell ref="B367:B368"/>
    <mergeCell ref="C367:C368"/>
    <mergeCell ref="D367:D368"/>
    <mergeCell ref="E367:E368"/>
    <mergeCell ref="F367:F368"/>
    <mergeCell ref="I367:I368"/>
    <mergeCell ref="J367:J368"/>
    <mergeCell ref="A369:A370"/>
    <mergeCell ref="B369:B370"/>
    <mergeCell ref="C369:C370"/>
    <mergeCell ref="D369:D370"/>
    <mergeCell ref="E369:E370"/>
    <mergeCell ref="F369:F370"/>
    <mergeCell ref="I371:I372"/>
    <mergeCell ref="J371:J372"/>
    <mergeCell ref="A371:A372"/>
    <mergeCell ref="B371:B372"/>
    <mergeCell ref="C371:C372"/>
    <mergeCell ref="D371:D372"/>
    <mergeCell ref="E371:E372"/>
    <mergeCell ref="F371:F372"/>
    <mergeCell ref="I377:I378"/>
    <mergeCell ref="J377:J378"/>
    <mergeCell ref="A373:A374"/>
    <mergeCell ref="B373:B374"/>
    <mergeCell ref="C373:C374"/>
    <mergeCell ref="D373:D374"/>
    <mergeCell ref="E373:E374"/>
    <mergeCell ref="F373:F374"/>
    <mergeCell ref="I373:I374"/>
    <mergeCell ref="J373:J374"/>
    <mergeCell ref="I375:I376"/>
    <mergeCell ref="J375:J376"/>
    <mergeCell ref="A375:A376"/>
    <mergeCell ref="B375:B376"/>
    <mergeCell ref="C375:C376"/>
    <mergeCell ref="D375:D376"/>
    <mergeCell ref="E375:E376"/>
    <mergeCell ref="F375:F376"/>
    <mergeCell ref="A377:A378"/>
    <mergeCell ref="B377:B378"/>
    <mergeCell ref="C377:C378"/>
    <mergeCell ref="D377:D378"/>
    <mergeCell ref="E377:E378"/>
    <mergeCell ref="F377:F378"/>
    <mergeCell ref="D391:D392"/>
    <mergeCell ref="E391:E392"/>
    <mergeCell ref="F391:F392"/>
    <mergeCell ref="I383:I384"/>
    <mergeCell ref="J383:J384"/>
    <mergeCell ref="I379:I380"/>
    <mergeCell ref="J379:J380"/>
    <mergeCell ref="A379:A380"/>
    <mergeCell ref="B379:B380"/>
    <mergeCell ref="C379:C380"/>
    <mergeCell ref="D379:D380"/>
    <mergeCell ref="E379:E380"/>
    <mergeCell ref="F379:F380"/>
    <mergeCell ref="I381:I382"/>
    <mergeCell ref="J381:J382"/>
    <mergeCell ref="A381:A382"/>
    <mergeCell ref="B381:B382"/>
    <mergeCell ref="C381:C382"/>
    <mergeCell ref="D381:D382"/>
    <mergeCell ref="E381:E382"/>
    <mergeCell ref="F381:F382"/>
    <mergeCell ref="A383:A384"/>
    <mergeCell ref="B383:B384"/>
    <mergeCell ref="C383:C384"/>
    <mergeCell ref="D383:D384"/>
    <mergeCell ref="E383:E384"/>
    <mergeCell ref="F383:F384"/>
    <mergeCell ref="I395:I396"/>
    <mergeCell ref="B53:B54"/>
    <mergeCell ref="A53:A54"/>
    <mergeCell ref="I385:I386"/>
    <mergeCell ref="J385:J386"/>
    <mergeCell ref="A385:A386"/>
    <mergeCell ref="B385:B386"/>
    <mergeCell ref="C385:C386"/>
    <mergeCell ref="D385:D386"/>
    <mergeCell ref="E385:E386"/>
    <mergeCell ref="F385:F386"/>
    <mergeCell ref="I391:I392"/>
    <mergeCell ref="J391:J392"/>
    <mergeCell ref="A387:A388"/>
    <mergeCell ref="B387:B388"/>
    <mergeCell ref="C387:C388"/>
    <mergeCell ref="D387:D388"/>
    <mergeCell ref="E387:E388"/>
    <mergeCell ref="F387:F388"/>
    <mergeCell ref="I387:I388"/>
    <mergeCell ref="J387:J388"/>
    <mergeCell ref="I389:I390"/>
    <mergeCell ref="J389:J390"/>
    <mergeCell ref="A389:A390"/>
    <mergeCell ref="B389:B390"/>
    <mergeCell ref="C389:C390"/>
    <mergeCell ref="D389:D390"/>
    <mergeCell ref="E389:E390"/>
    <mergeCell ref="F389:F390"/>
    <mergeCell ref="A391:A392"/>
    <mergeCell ref="B391:B392"/>
    <mergeCell ref="C391:C392"/>
    <mergeCell ref="I399:I400"/>
    <mergeCell ref="J399:J400"/>
    <mergeCell ref="A1:J2"/>
    <mergeCell ref="J53:J54"/>
    <mergeCell ref="I53:I54"/>
    <mergeCell ref="F53:F54"/>
    <mergeCell ref="E53:E54"/>
    <mergeCell ref="D53:D54"/>
    <mergeCell ref="I393:I394"/>
    <mergeCell ref="J393:J394"/>
    <mergeCell ref="A393:A394"/>
    <mergeCell ref="B393:B394"/>
    <mergeCell ref="C393:C394"/>
    <mergeCell ref="D393:D394"/>
    <mergeCell ref="E393:E394"/>
    <mergeCell ref="F393:F394"/>
    <mergeCell ref="J395:J396"/>
    <mergeCell ref="A395:A396"/>
    <mergeCell ref="B395:B396"/>
    <mergeCell ref="C395:C396"/>
    <mergeCell ref="D395:D396"/>
    <mergeCell ref="E395:E396"/>
    <mergeCell ref="F395:F396"/>
    <mergeCell ref="C53:C54"/>
    <mergeCell ref="I397:I398"/>
    <mergeCell ref="J397:J398"/>
    <mergeCell ref="A397:A398"/>
    <mergeCell ref="B397:B398"/>
    <mergeCell ref="C397:C398"/>
    <mergeCell ref="D397:D398"/>
    <mergeCell ref="E397:E398"/>
    <mergeCell ref="F397:F398"/>
  </mergeCells>
  <pageMargins left="0.19685039370078738" right="0.19685039370078738" top="0.39370078740157477" bottom="0.39370078740157477" header="0" footer="0"/>
  <pageSetup paperSize="9" scale="10" fitToHeight="0" pageOrder="overThenDown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outlinePr summaryBelow="0" summaryRight="0"/>
    <pageSetUpPr autoPageBreaks="0"/>
  </sheetPr>
  <dimension ref="A1:P667"/>
  <sheetViews>
    <sheetView tabSelected="1" topLeftCell="B28" zoomScale="80" zoomScaleNormal="80" workbookViewId="0">
      <selection activeCell="B58" sqref="B58"/>
    </sheetView>
  </sheetViews>
  <sheetFormatPr defaultColWidth="9.33203125" defaultRowHeight="12.75" outlineLevelRow="2" x14ac:dyDescent="0.2"/>
  <cols>
    <col min="1" max="1" width="8.83203125" style="143" customWidth="1"/>
    <col min="2" max="2" width="104.1640625" style="3" customWidth="1"/>
    <col min="3" max="3" width="21" style="143" customWidth="1"/>
    <col min="4" max="4" width="10.5" style="139" customWidth="1"/>
    <col min="5" max="5" width="14.5" style="22" customWidth="1"/>
    <col min="6" max="6" width="0.83203125" style="2" hidden="1" customWidth="1"/>
    <col min="7" max="7" width="3.6640625" style="2" hidden="1" customWidth="1"/>
    <col min="8" max="8" width="18.5" style="22" customWidth="1"/>
    <col min="9" max="9" width="15.33203125" style="203" customWidth="1"/>
    <col min="10" max="10" width="10.5" style="3" customWidth="1"/>
    <col min="11" max="11" width="13.1640625" style="3" customWidth="1"/>
    <col min="12" max="12" width="15.6640625" style="3" customWidth="1"/>
    <col min="13" max="16384" width="9.33203125" style="3"/>
  </cols>
  <sheetData>
    <row r="1" spans="1:14" ht="12.75" customHeight="1" x14ac:dyDescent="0.2">
      <c r="A1" s="244" t="s">
        <v>470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</row>
    <row r="2" spans="1:14" ht="12.75" customHeight="1" thickBot="1" x14ac:dyDescent="0.25">
      <c r="A2" s="385"/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</row>
    <row r="3" spans="1:14" ht="15" outlineLevel="1" x14ac:dyDescent="0.2">
      <c r="A3" s="342" t="s">
        <v>438</v>
      </c>
      <c r="B3" s="344" t="s">
        <v>0</v>
      </c>
      <c r="C3" s="346" t="s">
        <v>440</v>
      </c>
      <c r="D3" s="348" t="s">
        <v>445</v>
      </c>
      <c r="E3" s="344" t="s">
        <v>437</v>
      </c>
      <c r="F3" s="199"/>
      <c r="G3" s="200"/>
      <c r="H3" s="350" t="s">
        <v>462</v>
      </c>
      <c r="I3" s="337" t="s">
        <v>995</v>
      </c>
      <c r="J3" s="284" t="s">
        <v>997</v>
      </c>
      <c r="K3" s="284" t="s">
        <v>996</v>
      </c>
      <c r="L3" s="340" t="s">
        <v>998</v>
      </c>
    </row>
    <row r="4" spans="1:14" ht="33" customHeight="1" outlineLevel="1" thickBot="1" x14ac:dyDescent="0.25">
      <c r="A4" s="343"/>
      <c r="B4" s="345"/>
      <c r="C4" s="347"/>
      <c r="D4" s="349" t="s">
        <v>436</v>
      </c>
      <c r="E4" s="345"/>
      <c r="F4" s="198"/>
      <c r="G4" s="201"/>
      <c r="H4" s="351"/>
      <c r="I4" s="338"/>
      <c r="J4" s="339"/>
      <c r="K4" s="339"/>
      <c r="L4" s="341"/>
    </row>
    <row r="5" spans="1:14" outlineLevel="2" x14ac:dyDescent="0.2">
      <c r="A5" s="362">
        <v>1</v>
      </c>
      <c r="B5" s="363" t="s">
        <v>167</v>
      </c>
      <c r="C5" s="364" t="s">
        <v>168</v>
      </c>
      <c r="D5" s="373">
        <f>F6</f>
        <v>1</v>
      </c>
      <c r="E5" s="375">
        <v>1787996.97</v>
      </c>
      <c r="F5" s="196">
        <v>1787996.97</v>
      </c>
      <c r="G5" s="197"/>
      <c r="H5" s="365" t="s">
        <v>450</v>
      </c>
      <c r="I5" s="131"/>
      <c r="J5" s="131"/>
      <c r="K5" s="131"/>
      <c r="L5" s="132"/>
    </row>
    <row r="6" spans="1:14" outlineLevel="2" x14ac:dyDescent="0.2">
      <c r="A6" s="353"/>
      <c r="B6" s="355"/>
      <c r="C6" s="357"/>
      <c r="D6" s="359"/>
      <c r="E6" s="361">
        <v>1</v>
      </c>
      <c r="F6" s="70">
        <v>1</v>
      </c>
      <c r="G6" s="71"/>
      <c r="H6" s="366"/>
      <c r="I6" s="109"/>
      <c r="J6" s="109"/>
      <c r="K6" s="109"/>
      <c r="L6" s="110"/>
    </row>
    <row r="7" spans="1:14" outlineLevel="2" x14ac:dyDescent="0.2">
      <c r="A7" s="145"/>
      <c r="B7" s="146" t="s">
        <v>538</v>
      </c>
      <c r="C7" s="147"/>
      <c r="D7" s="148"/>
      <c r="E7" s="69"/>
      <c r="F7" s="70"/>
      <c r="G7" s="71"/>
      <c r="H7" s="107"/>
      <c r="I7" s="202"/>
      <c r="J7" s="109" t="str">
        <f t="shared" ref="J7:J87" si="0">IF(I7="","", "A")</f>
        <v/>
      </c>
      <c r="K7" s="109" t="str">
        <f>IF($I7="","", $I7 &amp; TEXT(COUNTIF($I7:$I$8,$I7),"00000") &amp; $J7)</f>
        <v/>
      </c>
      <c r="L7" s="110"/>
      <c r="N7" s="109"/>
    </row>
    <row r="8" spans="1:14" outlineLevel="2" x14ac:dyDescent="0.2">
      <c r="A8" s="122" t="s">
        <v>1205</v>
      </c>
      <c r="B8" s="76" t="s">
        <v>473</v>
      </c>
      <c r="C8" s="127" t="s">
        <v>472</v>
      </c>
      <c r="D8" s="135">
        <v>0</v>
      </c>
      <c r="E8" s="76"/>
      <c r="F8" s="70"/>
      <c r="G8" s="71"/>
      <c r="H8" s="107"/>
      <c r="I8" s="202"/>
      <c r="J8" s="109" t="str">
        <f t="shared" si="0"/>
        <v/>
      </c>
      <c r="K8" s="109" t="s">
        <v>1768</v>
      </c>
      <c r="L8" s="110" t="str">
        <f ca="1">IF(I8="","",TODAY())</f>
        <v/>
      </c>
    </row>
    <row r="9" spans="1:14" outlineLevel="2" x14ac:dyDescent="0.2">
      <c r="A9" s="122" t="s">
        <v>1206</v>
      </c>
      <c r="B9" s="128" t="s">
        <v>1192</v>
      </c>
      <c r="C9" s="127"/>
      <c r="D9" s="135">
        <v>1</v>
      </c>
      <c r="E9" s="87"/>
      <c r="F9" s="70"/>
      <c r="G9" s="71"/>
      <c r="H9" s="107"/>
      <c r="I9" s="202" t="s">
        <v>1554</v>
      </c>
      <c r="J9" s="109" t="str">
        <f t="shared" si="0"/>
        <v>A</v>
      </c>
      <c r="K9" s="109" t="s">
        <v>1561</v>
      </c>
      <c r="L9" s="110">
        <f t="shared" ref="L9:L16" ca="1" si="1">IF(I9="","",TODAY())</f>
        <v>46077</v>
      </c>
    </row>
    <row r="10" spans="1:14" outlineLevel="2" x14ac:dyDescent="0.2">
      <c r="A10" s="122" t="s">
        <v>1207</v>
      </c>
      <c r="B10" s="128" t="s">
        <v>1796</v>
      </c>
      <c r="C10" s="127"/>
      <c r="D10" s="135">
        <v>1</v>
      </c>
      <c r="E10" s="87"/>
      <c r="F10" s="70"/>
      <c r="G10" s="71"/>
      <c r="H10" s="107"/>
      <c r="I10" s="202" t="s">
        <v>1554</v>
      </c>
      <c r="J10" s="109" t="str">
        <f t="shared" si="0"/>
        <v>A</v>
      </c>
      <c r="K10" s="109" t="s">
        <v>1562</v>
      </c>
      <c r="L10" s="110">
        <f t="shared" ca="1" si="1"/>
        <v>46077</v>
      </c>
    </row>
    <row r="11" spans="1:14" outlineLevel="2" x14ac:dyDescent="0.2">
      <c r="A11" s="122" t="s">
        <v>1208</v>
      </c>
      <c r="B11" s="128" t="s">
        <v>1797</v>
      </c>
      <c r="C11" s="127"/>
      <c r="D11" s="135">
        <v>1</v>
      </c>
      <c r="E11" s="87"/>
      <c r="F11" s="70"/>
      <c r="G11" s="71"/>
      <c r="H11" s="107"/>
      <c r="I11" s="202" t="s">
        <v>1553</v>
      </c>
      <c r="J11" s="109" t="str">
        <f t="shared" si="0"/>
        <v>A</v>
      </c>
      <c r="K11" s="109" t="s">
        <v>1563</v>
      </c>
      <c r="L11" s="110">
        <f t="shared" ca="1" si="1"/>
        <v>46077</v>
      </c>
    </row>
    <row r="12" spans="1:14" outlineLevel="2" x14ac:dyDescent="0.2">
      <c r="A12" s="122" t="s">
        <v>1209</v>
      </c>
      <c r="B12" s="128" t="s">
        <v>1193</v>
      </c>
      <c r="C12" s="127"/>
      <c r="D12" s="135">
        <v>1</v>
      </c>
      <c r="E12" s="87"/>
      <c r="F12" s="70"/>
      <c r="G12" s="71"/>
      <c r="H12" s="107"/>
      <c r="I12" s="202" t="s">
        <v>1554</v>
      </c>
      <c r="J12" s="109" t="str">
        <f t="shared" si="0"/>
        <v>A</v>
      </c>
      <c r="K12" s="109" t="s">
        <v>1564</v>
      </c>
      <c r="L12" s="110">
        <f t="shared" ca="1" si="1"/>
        <v>46077</v>
      </c>
    </row>
    <row r="13" spans="1:14" outlineLevel="2" x14ac:dyDescent="0.2">
      <c r="A13" s="122" t="s">
        <v>1210</v>
      </c>
      <c r="B13" s="128" t="s">
        <v>1798</v>
      </c>
      <c r="C13" s="127"/>
      <c r="D13" s="135">
        <v>1</v>
      </c>
      <c r="E13" s="87"/>
      <c r="F13" s="70"/>
      <c r="G13" s="71"/>
      <c r="H13" s="107"/>
      <c r="I13" s="202" t="s">
        <v>1555</v>
      </c>
      <c r="J13" s="109" t="str">
        <f t="shared" si="0"/>
        <v>A</v>
      </c>
      <c r="K13" s="109" t="s">
        <v>1565</v>
      </c>
      <c r="L13" s="110">
        <f t="shared" ca="1" si="1"/>
        <v>46077</v>
      </c>
    </row>
    <row r="14" spans="1:14" outlineLevel="2" x14ac:dyDescent="0.2">
      <c r="A14" s="122" t="s">
        <v>1211</v>
      </c>
      <c r="B14" s="128" t="s">
        <v>1799</v>
      </c>
      <c r="C14" s="127"/>
      <c r="D14" s="135">
        <v>1</v>
      </c>
      <c r="E14" s="87"/>
      <c r="F14" s="70"/>
      <c r="G14" s="71"/>
      <c r="H14" s="107"/>
      <c r="I14" s="202" t="s">
        <v>1555</v>
      </c>
      <c r="J14" s="109" t="str">
        <f t="shared" si="0"/>
        <v>A</v>
      </c>
      <c r="K14" s="109" t="s">
        <v>1566</v>
      </c>
      <c r="L14" s="110">
        <f t="shared" ca="1" si="1"/>
        <v>46077</v>
      </c>
    </row>
    <row r="15" spans="1:14" outlineLevel="2" x14ac:dyDescent="0.2">
      <c r="A15" s="122" t="s">
        <v>1212</v>
      </c>
      <c r="B15" s="128" t="s">
        <v>1801</v>
      </c>
      <c r="C15" s="127"/>
      <c r="D15" s="135">
        <v>1</v>
      </c>
      <c r="E15" s="87"/>
      <c r="F15" s="70"/>
      <c r="G15" s="71"/>
      <c r="H15" s="107"/>
      <c r="I15" s="202" t="s">
        <v>1555</v>
      </c>
      <c r="J15" s="109" t="str">
        <f t="shared" si="0"/>
        <v>A</v>
      </c>
      <c r="K15" s="109" t="s">
        <v>1567</v>
      </c>
      <c r="L15" s="110">
        <f t="shared" ca="1" si="1"/>
        <v>46077</v>
      </c>
    </row>
    <row r="16" spans="1:14" outlineLevel="2" x14ac:dyDescent="0.2">
      <c r="A16" s="122" t="s">
        <v>1213</v>
      </c>
      <c r="B16" s="128" t="s">
        <v>1194</v>
      </c>
      <c r="C16" s="127"/>
      <c r="D16" s="135">
        <v>2</v>
      </c>
      <c r="E16" s="87"/>
      <c r="F16" s="70"/>
      <c r="G16" s="71"/>
      <c r="H16" s="107"/>
      <c r="I16" s="202" t="s">
        <v>1556</v>
      </c>
      <c r="J16" s="109" t="str">
        <f t="shared" si="0"/>
        <v>A</v>
      </c>
      <c r="K16" s="109" t="s">
        <v>1568</v>
      </c>
      <c r="L16" s="110">
        <f t="shared" ca="1" si="1"/>
        <v>46077</v>
      </c>
    </row>
    <row r="17" spans="1:12" outlineLevel="2" x14ac:dyDescent="0.2">
      <c r="A17" s="122" t="s">
        <v>1214</v>
      </c>
      <c r="B17" s="128" t="s">
        <v>1195</v>
      </c>
      <c r="C17" s="127"/>
      <c r="D17" s="135">
        <v>1</v>
      </c>
      <c r="E17" s="87"/>
      <c r="F17" s="70"/>
      <c r="G17" s="71"/>
      <c r="H17" s="107"/>
      <c r="I17" s="202" t="s">
        <v>1554</v>
      </c>
      <c r="J17" s="109" t="str">
        <f t="shared" si="0"/>
        <v>A</v>
      </c>
      <c r="K17" s="109" t="s">
        <v>1569</v>
      </c>
      <c r="L17" s="110">
        <f t="shared" ref="L17:L87" ca="1" si="2">IF(I17="","",TODAY())</f>
        <v>46077</v>
      </c>
    </row>
    <row r="18" spans="1:12" outlineLevel="2" x14ac:dyDescent="0.2">
      <c r="A18" s="122" t="s">
        <v>1215</v>
      </c>
      <c r="B18" s="128" t="s">
        <v>1802</v>
      </c>
      <c r="C18" s="127"/>
      <c r="D18" s="135">
        <v>1</v>
      </c>
      <c r="E18" s="87"/>
      <c r="F18" s="70"/>
      <c r="G18" s="71"/>
      <c r="H18" s="107"/>
      <c r="I18" s="202" t="s">
        <v>1557</v>
      </c>
      <c r="J18" s="109" t="str">
        <f t="shared" si="0"/>
        <v>A</v>
      </c>
      <c r="K18" s="109" t="s">
        <v>1570</v>
      </c>
      <c r="L18" s="110">
        <f t="shared" ca="1" si="2"/>
        <v>46077</v>
      </c>
    </row>
    <row r="19" spans="1:12" outlineLevel="2" x14ac:dyDescent="0.2">
      <c r="A19" s="122" t="s">
        <v>1216</v>
      </c>
      <c r="B19" s="128" t="s">
        <v>1803</v>
      </c>
      <c r="C19" s="127"/>
      <c r="D19" s="135">
        <v>1</v>
      </c>
      <c r="E19" s="87"/>
      <c r="F19" s="70"/>
      <c r="G19" s="71"/>
      <c r="H19" s="107"/>
      <c r="I19" s="202" t="s">
        <v>1553</v>
      </c>
      <c r="J19" s="109" t="str">
        <f t="shared" si="0"/>
        <v>A</v>
      </c>
      <c r="K19" s="109" t="s">
        <v>1571</v>
      </c>
      <c r="L19" s="110">
        <f t="shared" ca="1" si="2"/>
        <v>46077</v>
      </c>
    </row>
    <row r="20" spans="1:12" outlineLevel="2" x14ac:dyDescent="0.2">
      <c r="A20" s="122" t="s">
        <v>1217</v>
      </c>
      <c r="B20" s="128" t="s">
        <v>1196</v>
      </c>
      <c r="C20" s="127"/>
      <c r="D20" s="135">
        <v>1</v>
      </c>
      <c r="E20" s="87"/>
      <c r="F20" s="70"/>
      <c r="G20" s="71"/>
      <c r="H20" s="107"/>
      <c r="I20" s="202" t="s">
        <v>1554</v>
      </c>
      <c r="J20" s="109" t="str">
        <f t="shared" si="0"/>
        <v>A</v>
      </c>
      <c r="K20" s="109" t="s">
        <v>1572</v>
      </c>
      <c r="L20" s="110">
        <f t="shared" ca="1" si="2"/>
        <v>46077</v>
      </c>
    </row>
    <row r="21" spans="1:12" outlineLevel="2" x14ac:dyDescent="0.2">
      <c r="A21" s="122" t="s">
        <v>1218</v>
      </c>
      <c r="B21" s="128" t="s">
        <v>1197</v>
      </c>
      <c r="C21" s="127"/>
      <c r="D21" s="135">
        <v>1</v>
      </c>
      <c r="E21" s="87"/>
      <c r="F21" s="70"/>
      <c r="G21" s="71"/>
      <c r="H21" s="107"/>
      <c r="I21" s="202" t="s">
        <v>1557</v>
      </c>
      <c r="J21" s="109" t="str">
        <f t="shared" si="0"/>
        <v>A</v>
      </c>
      <c r="K21" s="109" t="s">
        <v>1573</v>
      </c>
      <c r="L21" s="110">
        <f t="shared" ca="1" si="2"/>
        <v>46077</v>
      </c>
    </row>
    <row r="22" spans="1:12" outlineLevel="2" x14ac:dyDescent="0.2">
      <c r="A22" s="122" t="s">
        <v>1219</v>
      </c>
      <c r="B22" s="128" t="s">
        <v>1804</v>
      </c>
      <c r="C22" s="127"/>
      <c r="D22" s="135">
        <v>1</v>
      </c>
      <c r="E22" s="87"/>
      <c r="F22" s="70"/>
      <c r="G22" s="71"/>
      <c r="H22" s="107"/>
      <c r="I22" s="202" t="s">
        <v>1553</v>
      </c>
      <c r="J22" s="109" t="str">
        <f t="shared" si="0"/>
        <v>A</v>
      </c>
      <c r="K22" s="109" t="s">
        <v>1574</v>
      </c>
      <c r="L22" s="110">
        <f t="shared" ca="1" si="2"/>
        <v>46077</v>
      </c>
    </row>
    <row r="23" spans="1:12" outlineLevel="2" x14ac:dyDescent="0.2">
      <c r="A23" s="122" t="s">
        <v>1220</v>
      </c>
      <c r="B23" s="128" t="s">
        <v>1198</v>
      </c>
      <c r="C23" s="127"/>
      <c r="D23" s="135">
        <v>1</v>
      </c>
      <c r="E23" s="87"/>
      <c r="F23" s="70"/>
      <c r="G23" s="71"/>
      <c r="H23" s="107"/>
      <c r="I23" s="202" t="s">
        <v>1553</v>
      </c>
      <c r="J23" s="109" t="str">
        <f t="shared" si="0"/>
        <v>A</v>
      </c>
      <c r="K23" s="109" t="s">
        <v>1575</v>
      </c>
      <c r="L23" s="110">
        <f t="shared" ca="1" si="2"/>
        <v>46077</v>
      </c>
    </row>
    <row r="24" spans="1:12" outlineLevel="2" x14ac:dyDescent="0.2">
      <c r="A24" s="122" t="s">
        <v>1221</v>
      </c>
      <c r="B24" s="128" t="s">
        <v>1199</v>
      </c>
      <c r="C24" s="127"/>
      <c r="D24" s="135">
        <v>1</v>
      </c>
      <c r="E24" s="87"/>
      <c r="F24" s="70"/>
      <c r="G24" s="71"/>
      <c r="H24" s="107"/>
      <c r="I24" s="202" t="s">
        <v>1554</v>
      </c>
      <c r="J24" s="109" t="str">
        <f t="shared" si="0"/>
        <v>A</v>
      </c>
      <c r="K24" s="109" t="s">
        <v>1576</v>
      </c>
      <c r="L24" s="110">
        <f t="shared" ca="1" si="2"/>
        <v>46077</v>
      </c>
    </row>
    <row r="25" spans="1:12" outlineLevel="2" x14ac:dyDescent="0.2">
      <c r="A25" s="122" t="s">
        <v>1222</v>
      </c>
      <c r="B25" s="128" t="s">
        <v>1805</v>
      </c>
      <c r="C25" s="127"/>
      <c r="D25" s="135">
        <v>1</v>
      </c>
      <c r="E25" s="87"/>
      <c r="F25" s="70"/>
      <c r="G25" s="71"/>
      <c r="H25" s="107"/>
      <c r="I25" s="202" t="s">
        <v>1552</v>
      </c>
      <c r="J25" s="109" t="str">
        <f t="shared" si="0"/>
        <v>A</v>
      </c>
      <c r="K25" s="109" t="s">
        <v>1577</v>
      </c>
      <c r="L25" s="110">
        <f t="shared" ca="1" si="2"/>
        <v>46077</v>
      </c>
    </row>
    <row r="26" spans="1:12" outlineLevel="2" x14ac:dyDescent="0.2">
      <c r="A26" s="122" t="s">
        <v>1223</v>
      </c>
      <c r="B26" s="128" t="s">
        <v>1482</v>
      </c>
      <c r="C26" s="127"/>
      <c r="D26" s="135">
        <v>1</v>
      </c>
      <c r="E26" s="87"/>
      <c r="F26" s="70"/>
      <c r="G26" s="71"/>
      <c r="H26" s="107"/>
      <c r="I26" s="202" t="s">
        <v>1552</v>
      </c>
      <c r="J26" s="109" t="str">
        <f t="shared" si="0"/>
        <v>A</v>
      </c>
      <c r="K26" s="109" t="s">
        <v>1578</v>
      </c>
      <c r="L26" s="110">
        <f t="shared" ca="1" si="2"/>
        <v>46077</v>
      </c>
    </row>
    <row r="27" spans="1:12" outlineLevel="2" x14ac:dyDescent="0.2">
      <c r="A27" s="122" t="s">
        <v>1224</v>
      </c>
      <c r="B27" s="128" t="s">
        <v>1806</v>
      </c>
      <c r="C27" s="127"/>
      <c r="D27" s="135">
        <v>1</v>
      </c>
      <c r="E27" s="87"/>
      <c r="F27" s="70"/>
      <c r="G27" s="71"/>
      <c r="H27" s="107"/>
      <c r="I27" s="202" t="s">
        <v>1552</v>
      </c>
      <c r="J27" s="109" t="str">
        <f t="shared" si="0"/>
        <v>A</v>
      </c>
      <c r="K27" s="109" t="s">
        <v>1579</v>
      </c>
      <c r="L27" s="110">
        <f t="shared" ca="1" si="2"/>
        <v>46077</v>
      </c>
    </row>
    <row r="28" spans="1:12" outlineLevel="2" x14ac:dyDescent="0.2">
      <c r="A28" s="122" t="s">
        <v>1225</v>
      </c>
      <c r="B28" s="128" t="s">
        <v>1807</v>
      </c>
      <c r="C28" s="127"/>
      <c r="D28" s="135">
        <v>1</v>
      </c>
      <c r="E28" s="87"/>
      <c r="F28" s="70"/>
      <c r="G28" s="71"/>
      <c r="H28" s="107"/>
      <c r="I28" s="202" t="s">
        <v>1552</v>
      </c>
      <c r="J28" s="109" t="str">
        <f t="shared" si="0"/>
        <v>A</v>
      </c>
      <c r="K28" s="109" t="s">
        <v>1580</v>
      </c>
      <c r="L28" s="110">
        <f t="shared" ca="1" si="2"/>
        <v>46077</v>
      </c>
    </row>
    <row r="29" spans="1:12" outlineLevel="2" x14ac:dyDescent="0.2">
      <c r="A29" s="122" t="s">
        <v>1226</v>
      </c>
      <c r="B29" s="128" t="s">
        <v>1808</v>
      </c>
      <c r="C29" s="127"/>
      <c r="D29" s="135">
        <v>1</v>
      </c>
      <c r="E29" s="87"/>
      <c r="F29" s="70"/>
      <c r="G29" s="71"/>
      <c r="H29" s="107"/>
      <c r="I29" s="202" t="s">
        <v>1553</v>
      </c>
      <c r="J29" s="109" t="str">
        <f t="shared" si="0"/>
        <v>A</v>
      </c>
      <c r="K29" s="109" t="s">
        <v>1581</v>
      </c>
      <c r="L29" s="110">
        <f t="shared" ca="1" si="2"/>
        <v>46077</v>
      </c>
    </row>
    <row r="30" spans="1:12" outlineLevel="2" x14ac:dyDescent="0.2">
      <c r="A30" s="122" t="s">
        <v>1227</v>
      </c>
      <c r="B30" s="128" t="s">
        <v>1200</v>
      </c>
      <c r="C30" s="127"/>
      <c r="D30" s="135">
        <v>1</v>
      </c>
      <c r="E30" s="87"/>
      <c r="F30" s="70"/>
      <c r="G30" s="71"/>
      <c r="H30" s="107"/>
      <c r="I30" s="202" t="s">
        <v>1553</v>
      </c>
      <c r="J30" s="109" t="str">
        <f t="shared" si="0"/>
        <v>A</v>
      </c>
      <c r="K30" s="109" t="s">
        <v>1582</v>
      </c>
      <c r="L30" s="110">
        <f t="shared" ca="1" si="2"/>
        <v>46077</v>
      </c>
    </row>
    <row r="31" spans="1:12" outlineLevel="2" x14ac:dyDescent="0.2">
      <c r="A31" s="122" t="s">
        <v>1228</v>
      </c>
      <c r="B31" s="128" t="s">
        <v>1809</v>
      </c>
      <c r="C31" s="127"/>
      <c r="D31" s="135">
        <v>1</v>
      </c>
      <c r="E31" s="87"/>
      <c r="F31" s="70"/>
      <c r="G31" s="71"/>
      <c r="H31" s="107"/>
      <c r="I31" s="202" t="s">
        <v>1554</v>
      </c>
      <c r="J31" s="109" t="str">
        <f t="shared" si="0"/>
        <v>A</v>
      </c>
      <c r="K31" s="109" t="s">
        <v>1583</v>
      </c>
      <c r="L31" s="110">
        <f t="shared" ca="1" si="2"/>
        <v>46077</v>
      </c>
    </row>
    <row r="32" spans="1:12" outlineLevel="2" x14ac:dyDescent="0.2">
      <c r="A32" s="122" t="s">
        <v>1229</v>
      </c>
      <c r="B32" s="128" t="s">
        <v>1201</v>
      </c>
      <c r="C32" s="127"/>
      <c r="D32" s="135">
        <v>1</v>
      </c>
      <c r="E32" s="87"/>
      <c r="F32" s="70"/>
      <c r="G32" s="71"/>
      <c r="H32" s="107"/>
      <c r="I32" s="202" t="s">
        <v>1553</v>
      </c>
      <c r="J32" s="109" t="str">
        <f t="shared" si="0"/>
        <v>A</v>
      </c>
      <c r="K32" s="109" t="s">
        <v>1584</v>
      </c>
      <c r="L32" s="110">
        <f t="shared" ca="1" si="2"/>
        <v>46077</v>
      </c>
    </row>
    <row r="33" spans="1:16" outlineLevel="2" x14ac:dyDescent="0.2">
      <c r="A33" s="122" t="s">
        <v>1230</v>
      </c>
      <c r="B33" s="128" t="s">
        <v>1810</v>
      </c>
      <c r="C33" s="127"/>
      <c r="D33" s="135">
        <v>1</v>
      </c>
      <c r="E33" s="87"/>
      <c r="F33" s="70"/>
      <c r="G33" s="71"/>
      <c r="H33" s="107"/>
      <c r="I33" s="202" t="s">
        <v>1553</v>
      </c>
      <c r="J33" s="109" t="str">
        <f t="shared" si="0"/>
        <v>A</v>
      </c>
      <c r="K33" s="109" t="s">
        <v>1585</v>
      </c>
      <c r="L33" s="110">
        <f t="shared" ca="1" si="2"/>
        <v>46077</v>
      </c>
    </row>
    <row r="34" spans="1:16" outlineLevel="2" x14ac:dyDescent="0.2">
      <c r="A34" s="122" t="s">
        <v>1231</v>
      </c>
      <c r="B34" s="128" t="s">
        <v>1811</v>
      </c>
      <c r="C34" s="127"/>
      <c r="D34" s="135">
        <v>1</v>
      </c>
      <c r="E34" s="87"/>
      <c r="F34" s="70"/>
      <c r="G34" s="71"/>
      <c r="H34" s="107"/>
      <c r="I34" s="202" t="s">
        <v>1553</v>
      </c>
      <c r="J34" s="109" t="str">
        <f t="shared" si="0"/>
        <v>A</v>
      </c>
      <c r="K34" s="109" t="s">
        <v>1586</v>
      </c>
      <c r="L34" s="110">
        <f t="shared" ca="1" si="2"/>
        <v>46077</v>
      </c>
    </row>
    <row r="35" spans="1:16" outlineLevel="2" x14ac:dyDescent="0.2">
      <c r="A35" s="122" t="s">
        <v>1232</v>
      </c>
      <c r="B35" s="128" t="s">
        <v>1812</v>
      </c>
      <c r="C35" s="127"/>
      <c r="D35" s="135">
        <v>1</v>
      </c>
      <c r="E35" s="87"/>
      <c r="F35" s="70"/>
      <c r="G35" s="71"/>
      <c r="H35" s="107"/>
      <c r="I35" s="202" t="s">
        <v>1553</v>
      </c>
      <c r="J35" s="109" t="str">
        <f t="shared" si="0"/>
        <v>A</v>
      </c>
      <c r="K35" s="109" t="s">
        <v>1587</v>
      </c>
      <c r="L35" s="110">
        <f t="shared" ca="1" si="2"/>
        <v>46077</v>
      </c>
    </row>
    <row r="36" spans="1:16" outlineLevel="2" x14ac:dyDescent="0.2">
      <c r="A36" s="122" t="s">
        <v>1233</v>
      </c>
      <c r="B36" s="128" t="s">
        <v>1202</v>
      </c>
      <c r="C36" s="127"/>
      <c r="D36" s="135">
        <v>1</v>
      </c>
      <c r="E36" s="87"/>
      <c r="F36" s="70"/>
      <c r="G36" s="71"/>
      <c r="H36" s="107"/>
      <c r="I36" s="202" t="s">
        <v>1553</v>
      </c>
      <c r="J36" s="109" t="str">
        <f t="shared" si="0"/>
        <v>A</v>
      </c>
      <c r="K36" s="109" t="s">
        <v>1588</v>
      </c>
      <c r="L36" s="110">
        <f t="shared" ca="1" si="2"/>
        <v>46077</v>
      </c>
    </row>
    <row r="37" spans="1:16" outlineLevel="2" x14ac:dyDescent="0.2">
      <c r="A37" s="122" t="s">
        <v>1234</v>
      </c>
      <c r="B37" s="128" t="s">
        <v>1203</v>
      </c>
      <c r="C37" s="127"/>
      <c r="D37" s="135">
        <v>1</v>
      </c>
      <c r="E37" s="87"/>
      <c r="F37" s="70"/>
      <c r="G37" s="71"/>
      <c r="H37" s="107"/>
      <c r="I37" s="202" t="s">
        <v>1553</v>
      </c>
      <c r="J37" s="109" t="str">
        <f t="shared" si="0"/>
        <v>A</v>
      </c>
      <c r="K37" s="109" t="s">
        <v>1589</v>
      </c>
      <c r="L37" s="110">
        <f t="shared" ca="1" si="2"/>
        <v>46077</v>
      </c>
    </row>
    <row r="38" spans="1:16" outlineLevel="2" x14ac:dyDescent="0.2">
      <c r="A38" s="122" t="s">
        <v>1235</v>
      </c>
      <c r="B38" s="128" t="s">
        <v>1813</v>
      </c>
      <c r="C38" s="127"/>
      <c r="D38" s="135">
        <v>1</v>
      </c>
      <c r="E38" s="87"/>
      <c r="F38" s="70"/>
      <c r="G38" s="71"/>
      <c r="H38" s="107"/>
      <c r="I38" s="202" t="s">
        <v>1553</v>
      </c>
      <c r="J38" s="109" t="str">
        <f t="shared" si="0"/>
        <v>A</v>
      </c>
      <c r="K38" s="109" t="s">
        <v>1590</v>
      </c>
      <c r="L38" s="110">
        <f t="shared" ca="1" si="2"/>
        <v>46077</v>
      </c>
      <c r="P38" s="109"/>
    </row>
    <row r="39" spans="1:16" outlineLevel="2" x14ac:dyDescent="0.2">
      <c r="A39" s="122" t="s">
        <v>1236</v>
      </c>
      <c r="B39" s="128" t="s">
        <v>1204</v>
      </c>
      <c r="C39" s="127"/>
      <c r="D39" s="135">
        <v>1</v>
      </c>
      <c r="E39" s="87"/>
      <c r="F39" s="70"/>
      <c r="G39" s="71"/>
      <c r="H39" s="107"/>
      <c r="I39" s="202" t="s">
        <v>1555</v>
      </c>
      <c r="J39" s="109" t="str">
        <f t="shared" si="0"/>
        <v>A</v>
      </c>
      <c r="K39" s="109" t="s">
        <v>1591</v>
      </c>
      <c r="L39" s="110">
        <f t="shared" ca="1" si="2"/>
        <v>46077</v>
      </c>
    </row>
    <row r="40" spans="1:16" outlineLevel="2" x14ac:dyDescent="0.2">
      <c r="A40" s="122"/>
      <c r="B40" s="128" t="s">
        <v>1800</v>
      </c>
      <c r="C40" s="127"/>
      <c r="D40" s="135">
        <v>1</v>
      </c>
      <c r="E40" s="87"/>
      <c r="F40" s="70"/>
      <c r="G40" s="71"/>
      <c r="H40" s="107"/>
      <c r="I40" s="202" t="s">
        <v>1553</v>
      </c>
      <c r="J40" s="109" t="str">
        <f t="shared" si="0"/>
        <v>A</v>
      </c>
      <c r="K40" s="109" t="s">
        <v>1817</v>
      </c>
      <c r="L40" s="110">
        <f t="shared" ca="1" si="2"/>
        <v>46077</v>
      </c>
    </row>
    <row r="41" spans="1:16" outlineLevel="2" x14ac:dyDescent="0.2">
      <c r="A41" s="122"/>
      <c r="B41" s="128" t="s">
        <v>1814</v>
      </c>
      <c r="C41" s="127"/>
      <c r="D41" s="135">
        <v>1</v>
      </c>
      <c r="E41" s="87"/>
      <c r="F41" s="70"/>
      <c r="G41" s="71"/>
      <c r="H41" s="107"/>
      <c r="I41" s="202" t="s">
        <v>1553</v>
      </c>
      <c r="J41" s="109" t="str">
        <f t="shared" si="0"/>
        <v>A</v>
      </c>
      <c r="K41" s="109" t="s">
        <v>1818</v>
      </c>
      <c r="L41" s="110">
        <f t="shared" ca="1" si="2"/>
        <v>46077</v>
      </c>
      <c r="O41" s="109"/>
    </row>
    <row r="42" spans="1:16" outlineLevel="2" x14ac:dyDescent="0.2">
      <c r="A42" s="122"/>
      <c r="B42" s="128" t="s">
        <v>1815</v>
      </c>
      <c r="C42" s="127"/>
      <c r="D42" s="135">
        <v>1</v>
      </c>
      <c r="E42" s="87"/>
      <c r="F42" s="70"/>
      <c r="G42" s="71"/>
      <c r="H42" s="107"/>
      <c r="I42" s="202" t="s">
        <v>1552</v>
      </c>
      <c r="J42" s="109" t="str">
        <f t="shared" si="0"/>
        <v>A</v>
      </c>
      <c r="K42" s="109" t="s">
        <v>1816</v>
      </c>
      <c r="L42" s="110">
        <f t="shared" ca="1" si="2"/>
        <v>46077</v>
      </c>
    </row>
    <row r="43" spans="1:16" outlineLevel="2" x14ac:dyDescent="0.2">
      <c r="A43" s="122"/>
      <c r="B43" s="128" t="s">
        <v>1819</v>
      </c>
      <c r="C43" s="127"/>
      <c r="D43" s="135">
        <v>1</v>
      </c>
      <c r="E43" s="87"/>
      <c r="F43" s="70"/>
      <c r="G43" s="71"/>
      <c r="H43" s="107"/>
      <c r="I43" s="202" t="s">
        <v>1555</v>
      </c>
      <c r="J43" s="109" t="str">
        <f t="shared" si="0"/>
        <v>A</v>
      </c>
      <c r="K43" s="109" t="s">
        <v>1821</v>
      </c>
      <c r="L43" s="110">
        <f t="shared" ca="1" si="2"/>
        <v>46077</v>
      </c>
    </row>
    <row r="44" spans="1:16" outlineLevel="2" x14ac:dyDescent="0.2">
      <c r="A44" s="122"/>
      <c r="B44" s="128" t="s">
        <v>1820</v>
      </c>
      <c r="C44" s="127"/>
      <c r="D44" s="135">
        <v>1</v>
      </c>
      <c r="E44" s="87"/>
      <c r="F44" s="70"/>
      <c r="G44" s="71"/>
      <c r="H44" s="107"/>
      <c r="I44" s="202" t="s">
        <v>1555</v>
      </c>
      <c r="J44" s="109" t="str">
        <f t="shared" si="0"/>
        <v>A</v>
      </c>
      <c r="K44" s="109" t="s">
        <v>1822</v>
      </c>
      <c r="L44" s="110">
        <f t="shared" ca="1" si="2"/>
        <v>46077</v>
      </c>
    </row>
    <row r="45" spans="1:16" outlineLevel="2" x14ac:dyDescent="0.2">
      <c r="A45" s="122"/>
      <c r="B45" s="128" t="s">
        <v>1823</v>
      </c>
      <c r="C45" s="127"/>
      <c r="D45" s="135">
        <v>1</v>
      </c>
      <c r="E45" s="87"/>
      <c r="F45" s="70"/>
      <c r="G45" s="71"/>
      <c r="H45" s="107"/>
      <c r="I45" s="202" t="s">
        <v>1552</v>
      </c>
      <c r="J45" s="109" t="str">
        <f t="shared" si="0"/>
        <v>A</v>
      </c>
      <c r="K45" s="109" t="s">
        <v>1824</v>
      </c>
      <c r="L45" s="110">
        <f t="shared" ca="1" si="2"/>
        <v>46077</v>
      </c>
    </row>
    <row r="46" spans="1:16" outlineLevel="2" x14ac:dyDescent="0.2">
      <c r="A46" s="122"/>
      <c r="B46" s="128" t="s">
        <v>1825</v>
      </c>
      <c r="C46" s="127"/>
      <c r="D46" s="135">
        <v>1</v>
      </c>
      <c r="E46" s="87"/>
      <c r="F46" s="70"/>
      <c r="G46" s="71"/>
      <c r="H46" s="107"/>
      <c r="I46" s="202" t="s">
        <v>1552</v>
      </c>
      <c r="J46" s="109" t="str">
        <f t="shared" si="0"/>
        <v>A</v>
      </c>
      <c r="K46" s="109" t="s">
        <v>1826</v>
      </c>
      <c r="L46" s="110">
        <f t="shared" ca="1" si="2"/>
        <v>46077</v>
      </c>
    </row>
    <row r="47" spans="1:16" outlineLevel="2" x14ac:dyDescent="0.2">
      <c r="A47" s="122"/>
      <c r="B47" s="128" t="s">
        <v>1827</v>
      </c>
      <c r="C47" s="127"/>
      <c r="D47" s="135">
        <v>1</v>
      </c>
      <c r="E47" s="87"/>
      <c r="F47" s="70"/>
      <c r="G47" s="71"/>
      <c r="H47" s="107"/>
      <c r="I47" s="202" t="s">
        <v>1553</v>
      </c>
      <c r="J47" s="109" t="str">
        <f t="shared" si="0"/>
        <v>A</v>
      </c>
      <c r="K47" s="109" t="s">
        <v>1828</v>
      </c>
      <c r="L47" s="110"/>
    </row>
    <row r="48" spans="1:16" outlineLevel="2" x14ac:dyDescent="0.2">
      <c r="A48" s="122"/>
      <c r="B48" s="128" t="s">
        <v>1829</v>
      </c>
      <c r="C48" s="127"/>
      <c r="D48" s="135">
        <v>1</v>
      </c>
      <c r="E48" s="87"/>
      <c r="F48" s="70"/>
      <c r="G48" s="71"/>
      <c r="H48" s="107"/>
      <c r="I48" s="202" t="s">
        <v>1555</v>
      </c>
      <c r="J48" s="109" t="str">
        <f t="shared" si="0"/>
        <v>A</v>
      </c>
      <c r="K48" s="109" t="s">
        <v>1830</v>
      </c>
      <c r="L48" s="110"/>
    </row>
    <row r="49" spans="1:16" outlineLevel="2" x14ac:dyDescent="0.2">
      <c r="A49" s="122"/>
      <c r="B49" s="128" t="s">
        <v>1831</v>
      </c>
      <c r="C49" s="127"/>
      <c r="D49" s="135">
        <v>1</v>
      </c>
      <c r="E49" s="87"/>
      <c r="F49" s="70"/>
      <c r="G49" s="71"/>
      <c r="H49" s="107"/>
      <c r="I49" s="202" t="s">
        <v>1555</v>
      </c>
      <c r="J49" s="109" t="str">
        <f t="shared" ref="J49:J55" si="3">IF(I49="","", "A")</f>
        <v>A</v>
      </c>
      <c r="K49" s="109" t="s">
        <v>1832</v>
      </c>
      <c r="L49" s="110"/>
    </row>
    <row r="50" spans="1:16" outlineLevel="2" x14ac:dyDescent="0.2">
      <c r="A50" s="122"/>
      <c r="B50" s="128" t="s">
        <v>1833</v>
      </c>
      <c r="C50" s="127"/>
      <c r="D50" s="135">
        <v>1</v>
      </c>
      <c r="E50" s="87"/>
      <c r="F50" s="70"/>
      <c r="G50" s="71"/>
      <c r="H50" s="107"/>
      <c r="I50" s="202" t="s">
        <v>1553</v>
      </c>
      <c r="J50" s="109" t="str">
        <f t="shared" si="3"/>
        <v>A</v>
      </c>
      <c r="K50" s="109" t="s">
        <v>1834</v>
      </c>
      <c r="L50" s="110"/>
    </row>
    <row r="51" spans="1:16" outlineLevel="2" x14ac:dyDescent="0.2">
      <c r="A51" s="122"/>
      <c r="B51" s="128" t="s">
        <v>1836</v>
      </c>
      <c r="C51" s="127"/>
      <c r="D51" s="135">
        <v>1</v>
      </c>
      <c r="E51" s="87"/>
      <c r="F51" s="70"/>
      <c r="G51" s="71"/>
      <c r="H51" s="107"/>
      <c r="I51" s="242" t="s">
        <v>1835</v>
      </c>
      <c r="J51" s="109" t="str">
        <f t="shared" si="3"/>
        <v>A</v>
      </c>
      <c r="K51" s="109" t="s">
        <v>1837</v>
      </c>
      <c r="L51" s="110"/>
    </row>
    <row r="52" spans="1:16" outlineLevel="2" x14ac:dyDescent="0.2">
      <c r="A52" s="122"/>
      <c r="B52" s="128" t="s">
        <v>1838</v>
      </c>
      <c r="C52" s="127"/>
      <c r="D52" s="135">
        <v>1</v>
      </c>
      <c r="E52" s="87"/>
      <c r="F52" s="70"/>
      <c r="G52" s="71"/>
      <c r="H52" s="107"/>
      <c r="I52" s="242" t="s">
        <v>1835</v>
      </c>
      <c r="J52" s="109" t="str">
        <f t="shared" ref="J52" si="4">IF(I52="","", "A")</f>
        <v>A</v>
      </c>
      <c r="K52" s="109" t="s">
        <v>1839</v>
      </c>
      <c r="L52" s="110"/>
    </row>
    <row r="53" spans="1:16" outlineLevel="2" x14ac:dyDescent="0.2">
      <c r="A53" s="122"/>
      <c r="B53" s="128"/>
      <c r="C53" s="127"/>
      <c r="D53" s="135"/>
      <c r="E53" s="87"/>
      <c r="F53" s="70"/>
      <c r="G53" s="71"/>
      <c r="H53" s="107"/>
      <c r="I53" s="202"/>
      <c r="J53" s="109" t="str">
        <f t="shared" si="3"/>
        <v/>
      </c>
      <c r="K53" s="109"/>
      <c r="L53" s="110"/>
    </row>
    <row r="54" spans="1:16" outlineLevel="2" x14ac:dyDescent="0.2">
      <c r="A54" s="122"/>
      <c r="B54" s="128"/>
      <c r="C54" s="127"/>
      <c r="D54" s="135"/>
      <c r="E54" s="87"/>
      <c r="F54" s="70"/>
      <c r="G54" s="71"/>
      <c r="H54" s="107"/>
      <c r="I54" s="202"/>
      <c r="J54" s="109" t="str">
        <f t="shared" si="3"/>
        <v/>
      </c>
      <c r="K54" s="109"/>
      <c r="L54" s="110"/>
    </row>
    <row r="55" spans="1:16" outlineLevel="2" x14ac:dyDescent="0.2">
      <c r="A55" s="122"/>
      <c r="B55" s="128"/>
      <c r="C55" s="127"/>
      <c r="D55" s="135"/>
      <c r="E55" s="87"/>
      <c r="F55" s="70"/>
      <c r="G55" s="71"/>
      <c r="H55" s="107"/>
      <c r="I55" s="202"/>
      <c r="J55" s="109" t="str">
        <f t="shared" si="3"/>
        <v/>
      </c>
      <c r="K55" s="109"/>
      <c r="L55" s="110"/>
    </row>
    <row r="56" spans="1:16" outlineLevel="2" x14ac:dyDescent="0.2">
      <c r="A56" s="122"/>
      <c r="B56" s="128"/>
      <c r="C56" s="127"/>
      <c r="D56" s="135"/>
      <c r="E56" s="87"/>
      <c r="F56" s="70"/>
      <c r="G56" s="71"/>
      <c r="H56" s="107"/>
      <c r="I56" s="202"/>
      <c r="J56" s="109"/>
      <c r="K56" s="109"/>
      <c r="L56" s="110"/>
    </row>
    <row r="57" spans="1:16" outlineLevel="2" x14ac:dyDescent="0.2">
      <c r="A57" s="122"/>
      <c r="B57" s="128"/>
      <c r="C57" s="127"/>
      <c r="D57" s="135"/>
      <c r="E57" s="87"/>
      <c r="F57" s="70"/>
      <c r="G57" s="71"/>
      <c r="H57" s="107"/>
      <c r="I57" s="202"/>
      <c r="J57" s="109"/>
      <c r="K57" s="109"/>
      <c r="L57" s="110"/>
    </row>
    <row r="58" spans="1:16" outlineLevel="2" x14ac:dyDescent="0.2">
      <c r="A58" s="122"/>
      <c r="B58" s="128"/>
      <c r="C58" s="127"/>
      <c r="D58" s="135"/>
      <c r="E58" s="87"/>
      <c r="F58" s="70"/>
      <c r="G58" s="71"/>
      <c r="H58" s="107"/>
      <c r="I58" s="202"/>
      <c r="J58" s="109" t="str">
        <f t="shared" si="0"/>
        <v/>
      </c>
      <c r="K58" s="109"/>
      <c r="L58" s="110"/>
    </row>
    <row r="59" spans="1:16" outlineLevel="2" x14ac:dyDescent="0.2">
      <c r="A59" s="122"/>
      <c r="B59" s="128"/>
      <c r="C59" s="127"/>
      <c r="D59" s="135"/>
      <c r="E59" s="87"/>
      <c r="F59" s="70"/>
      <c r="G59" s="71"/>
      <c r="H59" s="107"/>
      <c r="I59" s="202"/>
      <c r="J59" s="109"/>
      <c r="K59" s="109"/>
      <c r="L59" s="110"/>
    </row>
    <row r="60" spans="1:16" outlineLevel="2" x14ac:dyDescent="0.2">
      <c r="A60" s="122" t="s">
        <v>1237</v>
      </c>
      <c r="B60" s="76" t="s">
        <v>475</v>
      </c>
      <c r="C60" s="127" t="s">
        <v>474</v>
      </c>
      <c r="D60" s="135">
        <v>2</v>
      </c>
      <c r="E60" s="76"/>
      <c r="F60" s="70"/>
      <c r="G60" s="71"/>
      <c r="H60" s="107"/>
      <c r="I60" s="202"/>
      <c r="J60" s="109" t="str">
        <f t="shared" si="0"/>
        <v/>
      </c>
      <c r="K60" s="109" t="s">
        <v>1768</v>
      </c>
      <c r="L60" s="110" t="str">
        <f t="shared" ca="1" si="2"/>
        <v/>
      </c>
    </row>
    <row r="61" spans="1:16" outlineLevel="2" x14ac:dyDescent="0.2">
      <c r="A61" s="122" t="s">
        <v>1238</v>
      </c>
      <c r="B61" s="76" t="s">
        <v>477</v>
      </c>
      <c r="C61" s="127" t="s">
        <v>476</v>
      </c>
      <c r="D61" s="135">
        <v>2</v>
      </c>
      <c r="E61" s="76"/>
      <c r="F61" s="70"/>
      <c r="G61" s="71"/>
      <c r="H61" s="107"/>
      <c r="I61" s="202"/>
      <c r="J61" s="109" t="str">
        <f t="shared" si="0"/>
        <v/>
      </c>
      <c r="K61" s="109" t="s">
        <v>1768</v>
      </c>
      <c r="L61" s="110" t="str">
        <f t="shared" ca="1" si="2"/>
        <v/>
      </c>
    </row>
    <row r="62" spans="1:16" outlineLevel="2" x14ac:dyDescent="0.2">
      <c r="A62" s="122" t="s">
        <v>1239</v>
      </c>
      <c r="B62" s="76" t="s">
        <v>479</v>
      </c>
      <c r="C62" s="127" t="s">
        <v>478</v>
      </c>
      <c r="D62" s="135">
        <v>11</v>
      </c>
      <c r="E62" s="76"/>
      <c r="F62" s="70"/>
      <c r="G62" s="71"/>
      <c r="H62" s="107"/>
      <c r="I62" s="202"/>
      <c r="J62" s="109" t="str">
        <f t="shared" si="0"/>
        <v/>
      </c>
      <c r="K62" s="109" t="s">
        <v>1768</v>
      </c>
      <c r="L62" s="110" t="str">
        <f t="shared" ca="1" si="2"/>
        <v/>
      </c>
    </row>
    <row r="63" spans="1:16" outlineLevel="2" x14ac:dyDescent="0.2">
      <c r="A63" s="122" t="s">
        <v>1240</v>
      </c>
      <c r="B63" s="76" t="s">
        <v>481</v>
      </c>
      <c r="C63" s="127" t="s">
        <v>480</v>
      </c>
      <c r="D63" s="135">
        <v>9</v>
      </c>
      <c r="E63" s="76"/>
      <c r="F63" s="70"/>
      <c r="G63" s="71"/>
      <c r="H63" s="107"/>
      <c r="I63" s="202"/>
      <c r="J63" s="109" t="str">
        <f t="shared" si="0"/>
        <v/>
      </c>
      <c r="K63" s="109" t="s">
        <v>1768</v>
      </c>
      <c r="L63" s="110" t="str">
        <f t="shared" ca="1" si="2"/>
        <v/>
      </c>
      <c r="P63" s="109"/>
    </row>
    <row r="64" spans="1:16" outlineLevel="2" x14ac:dyDescent="0.2">
      <c r="A64" s="122" t="s">
        <v>1241</v>
      </c>
      <c r="B64" s="76" t="s">
        <v>483</v>
      </c>
      <c r="C64" s="127" t="s">
        <v>482</v>
      </c>
      <c r="D64" s="135">
        <v>5</v>
      </c>
      <c r="E64" s="76"/>
      <c r="F64" s="70"/>
      <c r="G64" s="71"/>
      <c r="H64" s="107"/>
      <c r="I64" s="202"/>
      <c r="J64" s="109" t="str">
        <f t="shared" si="0"/>
        <v/>
      </c>
      <c r="K64" s="109" t="s">
        <v>1768</v>
      </c>
      <c r="L64" s="110" t="str">
        <f t="shared" ca="1" si="2"/>
        <v/>
      </c>
    </row>
    <row r="65" spans="1:12" outlineLevel="2" x14ac:dyDescent="0.2">
      <c r="A65" s="122" t="s">
        <v>1242</v>
      </c>
      <c r="B65" s="76" t="s">
        <v>485</v>
      </c>
      <c r="C65" s="127" t="s">
        <v>484</v>
      </c>
      <c r="D65" s="135">
        <v>6</v>
      </c>
      <c r="E65" s="76"/>
      <c r="F65" s="70"/>
      <c r="G65" s="71"/>
      <c r="H65" s="107"/>
      <c r="I65" s="202"/>
      <c r="J65" s="109" t="str">
        <f t="shared" si="0"/>
        <v/>
      </c>
      <c r="K65" s="109" t="s">
        <v>1768</v>
      </c>
      <c r="L65" s="110" t="str">
        <f t="shared" ca="1" si="2"/>
        <v/>
      </c>
    </row>
    <row r="66" spans="1:12" outlineLevel="2" x14ac:dyDescent="0.2">
      <c r="A66" s="122" t="s">
        <v>1243</v>
      </c>
      <c r="B66" s="76" t="s">
        <v>487</v>
      </c>
      <c r="C66" s="127" t="s">
        <v>486</v>
      </c>
      <c r="D66" s="135">
        <v>11</v>
      </c>
      <c r="E66" s="76"/>
      <c r="F66" s="70"/>
      <c r="G66" s="71"/>
      <c r="H66" s="107"/>
      <c r="I66" s="202"/>
      <c r="J66" s="109" t="str">
        <f t="shared" si="0"/>
        <v/>
      </c>
      <c r="K66" s="109" t="s">
        <v>1768</v>
      </c>
      <c r="L66" s="110" t="str">
        <f t="shared" ca="1" si="2"/>
        <v/>
      </c>
    </row>
    <row r="67" spans="1:12" outlineLevel="2" x14ac:dyDescent="0.2">
      <c r="A67" s="122" t="s">
        <v>1244</v>
      </c>
      <c r="B67" s="76" t="s">
        <v>489</v>
      </c>
      <c r="C67" s="127" t="s">
        <v>488</v>
      </c>
      <c r="D67" s="135">
        <v>5</v>
      </c>
      <c r="E67" s="76"/>
      <c r="F67" s="70"/>
      <c r="G67" s="71"/>
      <c r="H67" s="107"/>
      <c r="I67" s="202"/>
      <c r="J67" s="109" t="str">
        <f t="shared" si="0"/>
        <v/>
      </c>
      <c r="K67" s="109" t="s">
        <v>1768</v>
      </c>
      <c r="L67" s="110" t="str">
        <f t="shared" ca="1" si="2"/>
        <v/>
      </c>
    </row>
    <row r="68" spans="1:12" outlineLevel="2" x14ac:dyDescent="0.2">
      <c r="A68" s="122" t="s">
        <v>1245</v>
      </c>
      <c r="B68" s="76" t="s">
        <v>491</v>
      </c>
      <c r="C68" s="127" t="s">
        <v>490</v>
      </c>
      <c r="D68" s="135">
        <v>3</v>
      </c>
      <c r="E68" s="76"/>
      <c r="F68" s="70"/>
      <c r="G68" s="71"/>
      <c r="H68" s="107"/>
      <c r="I68" s="202"/>
      <c r="J68" s="109" t="str">
        <f t="shared" si="0"/>
        <v/>
      </c>
      <c r="K68" s="109" t="s">
        <v>1768</v>
      </c>
      <c r="L68" s="110" t="str">
        <f t="shared" ca="1" si="2"/>
        <v/>
      </c>
    </row>
    <row r="69" spans="1:12" outlineLevel="2" x14ac:dyDescent="0.2">
      <c r="A69" s="122" t="s">
        <v>1246</v>
      </c>
      <c r="B69" s="76" t="s">
        <v>493</v>
      </c>
      <c r="C69" s="127" t="s">
        <v>492</v>
      </c>
      <c r="D69" s="135">
        <v>12</v>
      </c>
      <c r="E69" s="76"/>
      <c r="F69" s="70"/>
      <c r="G69" s="71"/>
      <c r="H69" s="107"/>
      <c r="I69" s="202"/>
      <c r="J69" s="109" t="str">
        <f t="shared" si="0"/>
        <v/>
      </c>
      <c r="K69" s="109" t="s">
        <v>1768</v>
      </c>
      <c r="L69" s="110" t="str">
        <f t="shared" ca="1" si="2"/>
        <v/>
      </c>
    </row>
    <row r="70" spans="1:12" outlineLevel="2" x14ac:dyDescent="0.2">
      <c r="A70" s="122" t="s">
        <v>1247</v>
      </c>
      <c r="B70" s="76" t="s">
        <v>495</v>
      </c>
      <c r="C70" s="127" t="s">
        <v>494</v>
      </c>
      <c r="D70" s="135">
        <v>3</v>
      </c>
      <c r="E70" s="76"/>
      <c r="F70" s="70"/>
      <c r="G70" s="71"/>
      <c r="H70" s="107"/>
      <c r="I70" s="202"/>
      <c r="J70" s="109" t="str">
        <f t="shared" si="0"/>
        <v/>
      </c>
      <c r="K70" s="109" t="s">
        <v>1768</v>
      </c>
      <c r="L70" s="110" t="str">
        <f t="shared" ca="1" si="2"/>
        <v/>
      </c>
    </row>
    <row r="71" spans="1:12" outlineLevel="2" x14ac:dyDescent="0.2">
      <c r="A71" s="122" t="s">
        <v>1248</v>
      </c>
      <c r="B71" s="76" t="s">
        <v>497</v>
      </c>
      <c r="C71" s="127" t="s">
        <v>496</v>
      </c>
      <c r="D71" s="135">
        <v>8</v>
      </c>
      <c r="E71" s="76"/>
      <c r="F71" s="70"/>
      <c r="G71" s="71"/>
      <c r="H71" s="107"/>
      <c r="I71" s="202"/>
      <c r="J71" s="109" t="str">
        <f t="shared" si="0"/>
        <v/>
      </c>
      <c r="K71" s="109" t="s">
        <v>1768</v>
      </c>
      <c r="L71" s="110" t="str">
        <f t="shared" ca="1" si="2"/>
        <v/>
      </c>
    </row>
    <row r="72" spans="1:12" outlineLevel="2" x14ac:dyDescent="0.2">
      <c r="A72" s="122" t="s">
        <v>1249</v>
      </c>
      <c r="B72" s="76" t="s">
        <v>499</v>
      </c>
      <c r="C72" s="127" t="s">
        <v>498</v>
      </c>
      <c r="D72" s="135">
        <v>2</v>
      </c>
      <c r="E72" s="76"/>
      <c r="F72" s="70"/>
      <c r="G72" s="71"/>
      <c r="H72" s="107"/>
      <c r="I72" s="202"/>
      <c r="J72" s="109" t="str">
        <f t="shared" si="0"/>
        <v/>
      </c>
      <c r="K72" s="109" t="s">
        <v>1768</v>
      </c>
      <c r="L72" s="110" t="str">
        <f t="shared" ca="1" si="2"/>
        <v/>
      </c>
    </row>
    <row r="73" spans="1:12" outlineLevel="2" x14ac:dyDescent="0.2">
      <c r="A73" s="122" t="s">
        <v>1250</v>
      </c>
      <c r="B73" s="76" t="s">
        <v>501</v>
      </c>
      <c r="C73" s="127" t="s">
        <v>500</v>
      </c>
      <c r="D73" s="135">
        <v>4</v>
      </c>
      <c r="E73" s="76"/>
      <c r="F73" s="70"/>
      <c r="G73" s="71"/>
      <c r="H73" s="107"/>
      <c r="I73" s="202"/>
      <c r="J73" s="109" t="str">
        <f t="shared" si="0"/>
        <v/>
      </c>
      <c r="K73" s="109" t="s">
        <v>1768</v>
      </c>
      <c r="L73" s="110" t="str">
        <f t="shared" ca="1" si="2"/>
        <v/>
      </c>
    </row>
    <row r="74" spans="1:12" outlineLevel="2" x14ac:dyDescent="0.2">
      <c r="A74" s="122" t="s">
        <v>1251</v>
      </c>
      <c r="B74" s="76" t="s">
        <v>503</v>
      </c>
      <c r="C74" s="127" t="s">
        <v>502</v>
      </c>
      <c r="D74" s="135">
        <v>2</v>
      </c>
      <c r="E74" s="76"/>
      <c r="F74" s="70"/>
      <c r="G74" s="71"/>
      <c r="H74" s="107"/>
      <c r="I74" s="202"/>
      <c r="J74" s="109" t="str">
        <f t="shared" si="0"/>
        <v/>
      </c>
      <c r="K74" s="109" t="s">
        <v>1768</v>
      </c>
      <c r="L74" s="110" t="str">
        <f t="shared" ca="1" si="2"/>
        <v/>
      </c>
    </row>
    <row r="75" spans="1:12" outlineLevel="2" x14ac:dyDescent="0.2">
      <c r="A75" s="122" t="s">
        <v>1252</v>
      </c>
      <c r="B75" s="76" t="s">
        <v>505</v>
      </c>
      <c r="C75" s="127" t="s">
        <v>504</v>
      </c>
      <c r="D75" s="135">
        <v>1</v>
      </c>
      <c r="E75" s="76"/>
      <c r="F75" s="70"/>
      <c r="G75" s="71"/>
      <c r="H75" s="107"/>
      <c r="I75" s="202"/>
      <c r="J75" s="109" t="str">
        <f t="shared" si="0"/>
        <v/>
      </c>
      <c r="K75" s="109" t="s">
        <v>1768</v>
      </c>
      <c r="L75" s="110" t="str">
        <f t="shared" ca="1" si="2"/>
        <v/>
      </c>
    </row>
    <row r="76" spans="1:12" outlineLevel="2" x14ac:dyDescent="0.2">
      <c r="A76" s="122" t="s">
        <v>1253</v>
      </c>
      <c r="B76" s="76" t="s">
        <v>507</v>
      </c>
      <c r="C76" s="127" t="s">
        <v>506</v>
      </c>
      <c r="D76" s="135">
        <v>1</v>
      </c>
      <c r="E76" s="76"/>
      <c r="F76" s="70"/>
      <c r="G76" s="71"/>
      <c r="H76" s="107"/>
      <c r="I76" s="202"/>
      <c r="J76" s="109" t="str">
        <f t="shared" si="0"/>
        <v/>
      </c>
      <c r="K76" s="109" t="s">
        <v>1768</v>
      </c>
      <c r="L76" s="110" t="str">
        <f t="shared" ca="1" si="2"/>
        <v/>
      </c>
    </row>
    <row r="77" spans="1:12" outlineLevel="2" x14ac:dyDescent="0.2">
      <c r="A77" s="122" t="s">
        <v>1254</v>
      </c>
      <c r="B77" s="76" t="s">
        <v>509</v>
      </c>
      <c r="C77" s="127" t="s">
        <v>508</v>
      </c>
      <c r="D77" s="135">
        <v>1</v>
      </c>
      <c r="E77" s="76"/>
      <c r="F77" s="70"/>
      <c r="G77" s="71"/>
      <c r="H77" s="107"/>
      <c r="I77" s="202"/>
      <c r="J77" s="109" t="str">
        <f t="shared" si="0"/>
        <v/>
      </c>
      <c r="K77" s="109" t="s">
        <v>1768</v>
      </c>
      <c r="L77" s="110" t="str">
        <f t="shared" ca="1" si="2"/>
        <v/>
      </c>
    </row>
    <row r="78" spans="1:12" outlineLevel="2" x14ac:dyDescent="0.2">
      <c r="A78" s="122" t="s">
        <v>1255</v>
      </c>
      <c r="B78" s="76" t="s">
        <v>511</v>
      </c>
      <c r="C78" s="127" t="s">
        <v>510</v>
      </c>
      <c r="D78" s="135">
        <v>1</v>
      </c>
      <c r="E78" s="76"/>
      <c r="F78" s="70"/>
      <c r="G78" s="71"/>
      <c r="H78" s="107"/>
      <c r="I78" s="202"/>
      <c r="J78" s="109" t="str">
        <f t="shared" si="0"/>
        <v/>
      </c>
      <c r="K78" s="109" t="s">
        <v>1768</v>
      </c>
      <c r="L78" s="110" t="str">
        <f t="shared" ca="1" si="2"/>
        <v/>
      </c>
    </row>
    <row r="79" spans="1:12" outlineLevel="2" x14ac:dyDescent="0.2">
      <c r="A79" s="122" t="s">
        <v>1256</v>
      </c>
      <c r="B79" s="76" t="s">
        <v>513</v>
      </c>
      <c r="C79" s="127" t="s">
        <v>512</v>
      </c>
      <c r="D79" s="135">
        <v>1</v>
      </c>
      <c r="E79" s="76"/>
      <c r="F79" s="70"/>
      <c r="G79" s="71"/>
      <c r="H79" s="107"/>
      <c r="I79" s="202"/>
      <c r="J79" s="109" t="str">
        <f t="shared" si="0"/>
        <v/>
      </c>
      <c r="K79" s="109" t="s">
        <v>1768</v>
      </c>
      <c r="L79" s="110" t="str">
        <f t="shared" ca="1" si="2"/>
        <v/>
      </c>
    </row>
    <row r="80" spans="1:12" outlineLevel="2" x14ac:dyDescent="0.2">
      <c r="A80" s="122" t="s">
        <v>1257</v>
      </c>
      <c r="B80" s="76" t="s">
        <v>515</v>
      </c>
      <c r="C80" s="127" t="s">
        <v>514</v>
      </c>
      <c r="D80" s="135">
        <v>1</v>
      </c>
      <c r="E80" s="76"/>
      <c r="F80" s="70"/>
      <c r="G80" s="71"/>
      <c r="H80" s="107"/>
      <c r="I80" s="202"/>
      <c r="J80" s="109" t="str">
        <f t="shared" si="0"/>
        <v/>
      </c>
      <c r="K80" s="109" t="s">
        <v>1768</v>
      </c>
      <c r="L80" s="110" t="str">
        <f t="shared" ca="1" si="2"/>
        <v/>
      </c>
    </row>
    <row r="81" spans="1:12" outlineLevel="2" x14ac:dyDescent="0.2">
      <c r="A81" s="122" t="s">
        <v>1258</v>
      </c>
      <c r="B81" s="76" t="s">
        <v>517</v>
      </c>
      <c r="C81" s="127" t="s">
        <v>516</v>
      </c>
      <c r="D81" s="135">
        <v>1</v>
      </c>
      <c r="E81" s="76"/>
      <c r="F81" s="70"/>
      <c r="G81" s="71"/>
      <c r="H81" s="107"/>
      <c r="I81" s="202"/>
      <c r="J81" s="109" t="str">
        <f t="shared" si="0"/>
        <v/>
      </c>
      <c r="K81" s="109" t="s">
        <v>1768</v>
      </c>
      <c r="L81" s="110" t="str">
        <f t="shared" ca="1" si="2"/>
        <v/>
      </c>
    </row>
    <row r="82" spans="1:12" outlineLevel="2" x14ac:dyDescent="0.2">
      <c r="A82" s="122" t="s">
        <v>1259</v>
      </c>
      <c r="B82" s="76" t="s">
        <v>519</v>
      </c>
      <c r="C82" s="127" t="s">
        <v>518</v>
      </c>
      <c r="D82" s="135">
        <v>6</v>
      </c>
      <c r="E82" s="76"/>
      <c r="F82" s="70"/>
      <c r="G82" s="71"/>
      <c r="H82" s="107"/>
      <c r="I82" s="202"/>
      <c r="J82" s="109" t="str">
        <f t="shared" si="0"/>
        <v/>
      </c>
      <c r="K82" s="109" t="s">
        <v>1768</v>
      </c>
      <c r="L82" s="110" t="str">
        <f t="shared" ca="1" si="2"/>
        <v/>
      </c>
    </row>
    <row r="83" spans="1:12" ht="13.5" outlineLevel="2" thickBot="1" x14ac:dyDescent="0.25">
      <c r="A83" s="122" t="s">
        <v>1260</v>
      </c>
      <c r="B83" s="124" t="s">
        <v>521</v>
      </c>
      <c r="C83" s="125" t="s">
        <v>520</v>
      </c>
      <c r="D83" s="136">
        <v>1</v>
      </c>
      <c r="E83" s="124"/>
      <c r="F83" s="74"/>
      <c r="G83" s="75"/>
      <c r="H83" s="108"/>
      <c r="I83" s="205"/>
      <c r="J83" s="129" t="str">
        <f t="shared" si="0"/>
        <v/>
      </c>
      <c r="K83" s="129" t="s">
        <v>1768</v>
      </c>
      <c r="L83" s="130" t="str">
        <f t="shared" ca="1" si="2"/>
        <v/>
      </c>
    </row>
    <row r="84" spans="1:12" ht="13.5" outlineLevel="2" thickBot="1" x14ac:dyDescent="0.25">
      <c r="A84" s="140"/>
      <c r="B84" s="126"/>
      <c r="C84" s="152"/>
      <c r="D84" s="149"/>
      <c r="E84" s="77"/>
      <c r="F84" s="77"/>
      <c r="G84" s="118"/>
      <c r="H84" s="120"/>
      <c r="I84" s="206"/>
      <c r="J84" s="119"/>
      <c r="K84" s="119"/>
      <c r="L84" s="119"/>
    </row>
    <row r="85" spans="1:12" outlineLevel="2" x14ac:dyDescent="0.2">
      <c r="A85" s="369">
        <v>2</v>
      </c>
      <c r="B85" s="370" t="s">
        <v>169</v>
      </c>
      <c r="C85" s="371" t="s">
        <v>170</v>
      </c>
      <c r="D85" s="372">
        <f>F86</f>
        <v>1</v>
      </c>
      <c r="E85" s="374">
        <v>980375.56</v>
      </c>
      <c r="F85" s="67">
        <v>980375.56</v>
      </c>
      <c r="G85" s="68"/>
      <c r="H85" s="365" t="s">
        <v>450</v>
      </c>
      <c r="I85" s="204"/>
      <c r="J85" s="109" t="str">
        <f t="shared" si="0"/>
        <v/>
      </c>
      <c r="K85" s="109" t="s">
        <v>1768</v>
      </c>
      <c r="L85" s="110" t="str">
        <f t="shared" ca="1" si="2"/>
        <v/>
      </c>
    </row>
    <row r="86" spans="1:12" outlineLevel="2" x14ac:dyDescent="0.2">
      <c r="A86" s="362"/>
      <c r="B86" s="363"/>
      <c r="C86" s="364"/>
      <c r="D86" s="373"/>
      <c r="E86" s="375">
        <v>1</v>
      </c>
      <c r="F86" s="70">
        <v>1</v>
      </c>
      <c r="G86" s="71"/>
      <c r="H86" s="366"/>
      <c r="I86" s="202"/>
      <c r="J86" s="109" t="str">
        <f t="shared" si="0"/>
        <v/>
      </c>
      <c r="K86" s="109" t="s">
        <v>1768</v>
      </c>
      <c r="L86" s="110" t="str">
        <f t="shared" ca="1" si="2"/>
        <v/>
      </c>
    </row>
    <row r="87" spans="1:12" outlineLevel="2" x14ac:dyDescent="0.2">
      <c r="A87" s="122" t="s">
        <v>1261</v>
      </c>
      <c r="B87" s="76" t="s">
        <v>523</v>
      </c>
      <c r="C87" s="127" t="s">
        <v>522</v>
      </c>
      <c r="D87" s="135">
        <v>0</v>
      </c>
      <c r="E87" s="69"/>
      <c r="F87" s="70"/>
      <c r="G87" s="71"/>
      <c r="H87" s="107"/>
      <c r="I87" s="202"/>
      <c r="J87" s="109" t="str">
        <f t="shared" si="0"/>
        <v/>
      </c>
      <c r="K87" s="109" t="s">
        <v>1768</v>
      </c>
      <c r="L87" s="110" t="str">
        <f t="shared" ca="1" si="2"/>
        <v/>
      </c>
    </row>
    <row r="88" spans="1:12" outlineLevel="2" x14ac:dyDescent="0.2">
      <c r="A88" s="122" t="s">
        <v>1262</v>
      </c>
      <c r="B88" s="76" t="s">
        <v>525</v>
      </c>
      <c r="C88" s="127" t="s">
        <v>524</v>
      </c>
      <c r="D88" s="135">
        <v>3</v>
      </c>
      <c r="E88" s="69"/>
      <c r="F88" s="70"/>
      <c r="G88" s="71"/>
      <c r="H88" s="107"/>
      <c r="I88" s="202"/>
      <c r="J88" s="109" t="str">
        <f t="shared" ref="J88:J95" si="5">IF(I88="","", "A")</f>
        <v/>
      </c>
      <c r="K88" s="109" t="s">
        <v>1768</v>
      </c>
      <c r="L88" s="110" t="str">
        <f t="shared" ref="L88:L95" ca="1" si="6">IF(I88="","",TODAY())</f>
        <v/>
      </c>
    </row>
    <row r="89" spans="1:12" ht="13.5" outlineLevel="2" thickBot="1" x14ac:dyDescent="0.25">
      <c r="A89" s="122" t="s">
        <v>1263</v>
      </c>
      <c r="B89" s="124" t="s">
        <v>527</v>
      </c>
      <c r="C89" s="125" t="s">
        <v>526</v>
      </c>
      <c r="D89" s="136">
        <v>3</v>
      </c>
      <c r="E89" s="81"/>
      <c r="F89" s="74"/>
      <c r="G89" s="75"/>
      <c r="H89" s="108"/>
      <c r="I89" s="205"/>
      <c r="J89" s="129" t="str">
        <f t="shared" si="5"/>
        <v/>
      </c>
      <c r="K89" s="129" t="s">
        <v>1768</v>
      </c>
      <c r="L89" s="130" t="str">
        <f t="shared" ca="1" si="6"/>
        <v/>
      </c>
    </row>
    <row r="90" spans="1:12" ht="13.5" outlineLevel="2" thickBot="1" x14ac:dyDescent="0.25">
      <c r="A90" s="140"/>
      <c r="B90" s="126"/>
      <c r="C90" s="152"/>
      <c r="D90" s="149"/>
      <c r="E90" s="77"/>
      <c r="F90" s="78"/>
      <c r="G90" s="79"/>
      <c r="H90" s="111"/>
      <c r="I90" s="206"/>
      <c r="J90" s="133" t="str">
        <f t="shared" si="5"/>
        <v/>
      </c>
      <c r="K90" s="133" t="s">
        <v>1768</v>
      </c>
      <c r="L90" s="134" t="str">
        <f t="shared" ca="1" si="6"/>
        <v/>
      </c>
    </row>
    <row r="91" spans="1:12" outlineLevel="2" x14ac:dyDescent="0.2">
      <c r="A91" s="123" t="s">
        <v>1264</v>
      </c>
      <c r="B91" s="370" t="s">
        <v>446</v>
      </c>
      <c r="C91" s="386" t="s">
        <v>22</v>
      </c>
      <c r="D91" s="372">
        <v>1</v>
      </c>
      <c r="E91" s="388">
        <v>1032697.27</v>
      </c>
      <c r="F91" s="82"/>
      <c r="G91" s="64"/>
      <c r="H91" s="381" t="s">
        <v>450</v>
      </c>
      <c r="I91" s="204"/>
      <c r="J91" s="131" t="str">
        <f t="shared" si="5"/>
        <v/>
      </c>
      <c r="K91" s="131" t="s">
        <v>1768</v>
      </c>
      <c r="L91" s="132" t="str">
        <f t="shared" ca="1" si="6"/>
        <v/>
      </c>
    </row>
    <row r="92" spans="1:12" outlineLevel="2" x14ac:dyDescent="0.2">
      <c r="A92" s="207"/>
      <c r="B92" s="363"/>
      <c r="C92" s="387"/>
      <c r="D92" s="373"/>
      <c r="E92" s="367"/>
      <c r="F92" s="208"/>
      <c r="G92" s="209"/>
      <c r="H92" s="382"/>
      <c r="I92" s="204"/>
      <c r="J92" s="131"/>
      <c r="K92" s="131"/>
      <c r="L92" s="132"/>
    </row>
    <row r="93" spans="1:12" outlineLevel="2" x14ac:dyDescent="0.2">
      <c r="A93" s="122" t="s">
        <v>1265</v>
      </c>
      <c r="B93" s="76" t="s">
        <v>528</v>
      </c>
      <c r="C93" s="72" t="s">
        <v>533</v>
      </c>
      <c r="D93" s="137">
        <v>0</v>
      </c>
      <c r="E93" s="61"/>
      <c r="F93" s="63"/>
      <c r="G93" s="62"/>
      <c r="H93" s="112"/>
      <c r="I93" s="202"/>
      <c r="J93" s="109" t="str">
        <f t="shared" si="5"/>
        <v/>
      </c>
      <c r="K93" s="109" t="s">
        <v>1768</v>
      </c>
      <c r="L93" s="110" t="str">
        <f t="shared" ca="1" si="6"/>
        <v/>
      </c>
    </row>
    <row r="94" spans="1:12" outlineLevel="2" x14ac:dyDescent="0.2">
      <c r="A94" s="122" t="s">
        <v>1265</v>
      </c>
      <c r="B94" s="76" t="s">
        <v>529</v>
      </c>
      <c r="C94" s="72" t="s">
        <v>534</v>
      </c>
      <c r="D94" s="137">
        <v>3</v>
      </c>
      <c r="E94" s="61"/>
      <c r="F94" s="63"/>
      <c r="G94" s="62"/>
      <c r="H94" s="112"/>
      <c r="I94" s="202"/>
      <c r="J94" s="109" t="str">
        <f t="shared" si="5"/>
        <v/>
      </c>
      <c r="K94" s="109" t="s">
        <v>1768</v>
      </c>
      <c r="L94" s="110" t="str">
        <f t="shared" ca="1" si="6"/>
        <v/>
      </c>
    </row>
    <row r="95" spans="1:12" outlineLevel="2" x14ac:dyDescent="0.2">
      <c r="A95" s="122" t="s">
        <v>1558</v>
      </c>
      <c r="B95" s="76" t="s">
        <v>530</v>
      </c>
      <c r="C95" s="72" t="s">
        <v>535</v>
      </c>
      <c r="D95" s="137">
        <v>4</v>
      </c>
      <c r="E95" s="61"/>
      <c r="F95" s="63"/>
      <c r="G95" s="62"/>
      <c r="H95" s="112"/>
      <c r="I95" s="202"/>
      <c r="J95" s="109" t="str">
        <f t="shared" si="5"/>
        <v/>
      </c>
      <c r="K95" s="109" t="s">
        <v>1768</v>
      </c>
      <c r="L95" s="110" t="str">
        <f t="shared" ca="1" si="6"/>
        <v/>
      </c>
    </row>
    <row r="96" spans="1:12" outlineLevel="2" x14ac:dyDescent="0.2">
      <c r="A96" s="122" t="s">
        <v>1559</v>
      </c>
      <c r="B96" s="76" t="s">
        <v>531</v>
      </c>
      <c r="C96" s="72" t="s">
        <v>536</v>
      </c>
      <c r="D96" s="137">
        <v>5</v>
      </c>
      <c r="E96" s="61"/>
      <c r="F96" s="63"/>
      <c r="G96" s="62"/>
      <c r="H96" s="112"/>
      <c r="I96" s="202"/>
      <c r="J96" s="109" t="str">
        <f t="shared" ref="J96:J173" si="7">IF(I96="","", "A")</f>
        <v/>
      </c>
      <c r="K96" s="109" t="s">
        <v>1768</v>
      </c>
      <c r="L96" s="110" t="str">
        <f t="shared" ref="L96:L173" ca="1" si="8">IF(I96="","",TODAY())</f>
        <v/>
      </c>
    </row>
    <row r="97" spans="1:12" ht="13.5" outlineLevel="2" thickBot="1" x14ac:dyDescent="0.25">
      <c r="A97" s="122" t="s">
        <v>1560</v>
      </c>
      <c r="B97" s="124" t="s">
        <v>532</v>
      </c>
      <c r="C97" s="73" t="s">
        <v>537</v>
      </c>
      <c r="D97" s="138">
        <v>2</v>
      </c>
      <c r="E97" s="80"/>
      <c r="F97" s="65"/>
      <c r="G97" s="66"/>
      <c r="H97" s="113"/>
      <c r="I97" s="205"/>
      <c r="J97" s="129" t="str">
        <f t="shared" si="7"/>
        <v/>
      </c>
      <c r="K97" s="129" t="s">
        <v>1768</v>
      </c>
      <c r="L97" s="130" t="str">
        <f t="shared" ca="1" si="8"/>
        <v/>
      </c>
    </row>
    <row r="98" spans="1:12" outlineLevel="2" x14ac:dyDescent="0.2">
      <c r="A98" s="141"/>
      <c r="B98" s="144"/>
      <c r="C98" s="153"/>
      <c r="D98" s="150"/>
      <c r="E98" s="59"/>
      <c r="F98" s="60"/>
      <c r="G98" s="210"/>
      <c r="I98" s="211"/>
      <c r="J98" s="203" t="str">
        <f t="shared" si="7"/>
        <v/>
      </c>
      <c r="K98" s="203" t="s">
        <v>1768</v>
      </c>
      <c r="L98" s="212" t="str">
        <f t="shared" ca="1" si="8"/>
        <v/>
      </c>
    </row>
    <row r="99" spans="1:12" ht="13.5" outlineLevel="2" thickBot="1" x14ac:dyDescent="0.25">
      <c r="A99" s="142"/>
      <c r="B99" s="83"/>
      <c r="C99" s="154"/>
      <c r="D99" s="151"/>
      <c r="E99" s="214"/>
      <c r="F99" s="215"/>
      <c r="G99" s="216"/>
      <c r="H99" s="217"/>
      <c r="I99" s="218"/>
      <c r="J99" s="219" t="str">
        <f t="shared" si="7"/>
        <v/>
      </c>
      <c r="K99" s="219" t="s">
        <v>1768</v>
      </c>
      <c r="L99" s="220" t="str">
        <f t="shared" ca="1" si="8"/>
        <v/>
      </c>
    </row>
    <row r="100" spans="1:12" outlineLevel="2" x14ac:dyDescent="0.2">
      <c r="A100" s="352">
        <v>3</v>
      </c>
      <c r="B100" s="354" t="s">
        <v>171</v>
      </c>
      <c r="C100" s="356" t="s">
        <v>172</v>
      </c>
      <c r="D100" s="358">
        <f>F101</f>
        <v>1</v>
      </c>
      <c r="E100" s="367">
        <v>1534585.93</v>
      </c>
      <c r="F100" s="213">
        <v>1534585.93</v>
      </c>
      <c r="G100" s="209"/>
      <c r="H100" s="376" t="s">
        <v>451</v>
      </c>
      <c r="I100" s="204"/>
      <c r="J100" s="131" t="str">
        <f t="shared" si="7"/>
        <v/>
      </c>
      <c r="K100" s="131" t="s">
        <v>1768</v>
      </c>
      <c r="L100" s="132" t="str">
        <f t="shared" ca="1" si="8"/>
        <v/>
      </c>
    </row>
    <row r="101" spans="1:12" outlineLevel="2" x14ac:dyDescent="0.2">
      <c r="A101" s="353"/>
      <c r="B101" s="355"/>
      <c r="C101" s="357"/>
      <c r="D101" s="359"/>
      <c r="E101" s="368">
        <v>1</v>
      </c>
      <c r="F101" s="63">
        <v>1</v>
      </c>
      <c r="G101" s="62"/>
      <c r="H101" s="377"/>
      <c r="I101" s="202"/>
      <c r="J101" s="109" t="str">
        <f t="shared" si="7"/>
        <v/>
      </c>
      <c r="K101" s="109" t="s">
        <v>1768</v>
      </c>
      <c r="L101" s="110" t="str">
        <f t="shared" ca="1" si="8"/>
        <v/>
      </c>
    </row>
    <row r="102" spans="1:12" outlineLevel="2" x14ac:dyDescent="0.2">
      <c r="A102" s="122" t="s">
        <v>1146</v>
      </c>
      <c r="B102" s="76" t="s">
        <v>560</v>
      </c>
      <c r="C102" s="72" t="s">
        <v>539</v>
      </c>
      <c r="D102" s="137">
        <v>0</v>
      </c>
      <c r="E102" s="61"/>
      <c r="F102" s="63"/>
      <c r="G102" s="62"/>
      <c r="H102" s="112"/>
      <c r="I102" s="202"/>
      <c r="J102" s="109" t="str">
        <f t="shared" si="7"/>
        <v/>
      </c>
      <c r="K102" s="109" t="s">
        <v>1768</v>
      </c>
      <c r="L102" s="110" t="str">
        <f t="shared" ca="1" si="8"/>
        <v/>
      </c>
    </row>
    <row r="103" spans="1:12" outlineLevel="2" x14ac:dyDescent="0.2">
      <c r="A103" s="122" t="s">
        <v>1160</v>
      </c>
      <c r="B103" s="155" t="s">
        <v>999</v>
      </c>
      <c r="C103" s="156"/>
      <c r="D103" s="157">
        <v>1</v>
      </c>
      <c r="E103" s="61"/>
      <c r="F103" s="158"/>
      <c r="G103" s="159"/>
      <c r="H103" s="112"/>
      <c r="I103" s="202" t="s">
        <v>1554</v>
      </c>
      <c r="J103" s="109" t="str">
        <f t="shared" si="7"/>
        <v>A</v>
      </c>
      <c r="K103" s="109" t="s">
        <v>1592</v>
      </c>
      <c r="L103" s="110">
        <f ca="1">IF(I103="","",TODAY())</f>
        <v>46077</v>
      </c>
    </row>
    <row r="104" spans="1:12" outlineLevel="2" x14ac:dyDescent="0.2">
      <c r="A104" s="122" t="s">
        <v>1161</v>
      </c>
      <c r="B104" s="155" t="s">
        <v>1000</v>
      </c>
      <c r="C104" s="156"/>
      <c r="D104" s="157">
        <v>1</v>
      </c>
      <c r="E104" s="61"/>
      <c r="F104" s="158"/>
      <c r="G104" s="159"/>
      <c r="H104" s="112"/>
      <c r="I104" s="202" t="s">
        <v>1553</v>
      </c>
      <c r="J104" s="109" t="str">
        <f t="shared" si="7"/>
        <v>A</v>
      </c>
      <c r="K104" s="109" t="s">
        <v>1593</v>
      </c>
      <c r="L104" s="110">
        <f t="shared" ref="L104:L116" ca="1" si="9">IF(I104="","",TODAY())</f>
        <v>46077</v>
      </c>
    </row>
    <row r="105" spans="1:12" outlineLevel="2" x14ac:dyDescent="0.2">
      <c r="A105" s="122" t="s">
        <v>1162</v>
      </c>
      <c r="B105" s="155" t="s">
        <v>1001</v>
      </c>
      <c r="C105" s="156"/>
      <c r="D105" s="157">
        <v>1</v>
      </c>
      <c r="E105" s="61"/>
      <c r="F105" s="158"/>
      <c r="G105" s="159"/>
      <c r="H105" s="112"/>
      <c r="I105" s="202" t="s">
        <v>1553</v>
      </c>
      <c r="J105" s="109" t="str">
        <f t="shared" si="7"/>
        <v>A</v>
      </c>
      <c r="K105" s="109" t="s">
        <v>1594</v>
      </c>
      <c r="L105" s="110">
        <f t="shared" ca="1" si="9"/>
        <v>46077</v>
      </c>
    </row>
    <row r="106" spans="1:12" outlineLevel="2" x14ac:dyDescent="0.2">
      <c r="A106" s="122" t="s">
        <v>1163</v>
      </c>
      <c r="B106" s="155" t="s">
        <v>1002</v>
      </c>
      <c r="C106" s="156"/>
      <c r="D106" s="157">
        <v>1</v>
      </c>
      <c r="E106" s="61"/>
      <c r="F106" s="158"/>
      <c r="G106" s="159"/>
      <c r="H106" s="112"/>
      <c r="I106" s="202" t="s">
        <v>1553</v>
      </c>
      <c r="J106" s="109" t="str">
        <f t="shared" si="7"/>
        <v>A</v>
      </c>
      <c r="K106" s="109" t="s">
        <v>1595</v>
      </c>
      <c r="L106" s="110">
        <f t="shared" ca="1" si="9"/>
        <v>46077</v>
      </c>
    </row>
    <row r="107" spans="1:12" outlineLevel="2" x14ac:dyDescent="0.2">
      <c r="A107" s="122" t="s">
        <v>1164</v>
      </c>
      <c r="B107" s="160" t="s">
        <v>1003</v>
      </c>
      <c r="C107" s="161"/>
      <c r="D107" s="162">
        <v>1</v>
      </c>
      <c r="E107" s="61"/>
      <c r="F107" s="163"/>
      <c r="G107" s="164"/>
      <c r="H107" s="112"/>
      <c r="I107" s="202" t="s">
        <v>1556</v>
      </c>
      <c r="J107" s="109" t="str">
        <f t="shared" si="7"/>
        <v>A</v>
      </c>
      <c r="K107" s="109" t="s">
        <v>1596</v>
      </c>
      <c r="L107" s="110">
        <f t="shared" ca="1" si="9"/>
        <v>46077</v>
      </c>
    </row>
    <row r="108" spans="1:12" outlineLevel="2" x14ac:dyDescent="0.2">
      <c r="A108" s="122" t="s">
        <v>1165</v>
      </c>
      <c r="B108" s="155" t="s">
        <v>1004</v>
      </c>
      <c r="C108" s="156"/>
      <c r="D108" s="157">
        <v>1</v>
      </c>
      <c r="E108" s="61"/>
      <c r="F108" s="158"/>
      <c r="G108" s="159"/>
      <c r="H108" s="112"/>
      <c r="I108" s="202" t="s">
        <v>1554</v>
      </c>
      <c r="J108" s="109" t="str">
        <f t="shared" si="7"/>
        <v>A</v>
      </c>
      <c r="K108" s="109" t="s">
        <v>1597</v>
      </c>
      <c r="L108" s="110">
        <f t="shared" ca="1" si="9"/>
        <v>46077</v>
      </c>
    </row>
    <row r="109" spans="1:12" outlineLevel="2" x14ac:dyDescent="0.2">
      <c r="A109" s="122" t="s">
        <v>1166</v>
      </c>
      <c r="B109" s="155" t="s">
        <v>1005</v>
      </c>
      <c r="C109" s="156"/>
      <c r="D109" s="157">
        <v>1</v>
      </c>
      <c r="E109" s="61"/>
      <c r="F109" s="158"/>
      <c r="G109" s="159"/>
      <c r="H109" s="112"/>
      <c r="I109" s="202" t="s">
        <v>1553</v>
      </c>
      <c r="J109" s="109" t="str">
        <f t="shared" si="7"/>
        <v>A</v>
      </c>
      <c r="K109" s="109" t="s">
        <v>1598</v>
      </c>
      <c r="L109" s="110">
        <f t="shared" ca="1" si="9"/>
        <v>46077</v>
      </c>
    </row>
    <row r="110" spans="1:12" outlineLevel="2" x14ac:dyDescent="0.2">
      <c r="A110" s="122" t="s">
        <v>1167</v>
      </c>
      <c r="B110" s="155" t="s">
        <v>1006</v>
      </c>
      <c r="C110" s="156"/>
      <c r="D110" s="157">
        <v>1</v>
      </c>
      <c r="E110" s="61"/>
      <c r="F110" s="158"/>
      <c r="G110" s="159"/>
      <c r="H110" s="112"/>
      <c r="I110" s="202" t="s">
        <v>1553</v>
      </c>
      <c r="J110" s="109" t="str">
        <f t="shared" si="7"/>
        <v>A</v>
      </c>
      <c r="K110" s="109" t="s">
        <v>1599</v>
      </c>
      <c r="L110" s="110">
        <f t="shared" ca="1" si="9"/>
        <v>46077</v>
      </c>
    </row>
    <row r="111" spans="1:12" outlineLevel="2" x14ac:dyDescent="0.2">
      <c r="A111" s="122" t="s">
        <v>1168</v>
      </c>
      <c r="B111" s="155" t="s">
        <v>1266</v>
      </c>
      <c r="C111" s="156"/>
      <c r="D111" s="157">
        <v>1</v>
      </c>
      <c r="E111" s="61"/>
      <c r="F111" s="158"/>
      <c r="G111" s="159"/>
      <c r="H111" s="112"/>
      <c r="I111" s="202" t="s">
        <v>1557</v>
      </c>
      <c r="J111" s="109" t="str">
        <f t="shared" si="7"/>
        <v>A</v>
      </c>
      <c r="K111" s="109" t="s">
        <v>1600</v>
      </c>
      <c r="L111" s="110">
        <f t="shared" ca="1" si="9"/>
        <v>46077</v>
      </c>
    </row>
    <row r="112" spans="1:12" outlineLevel="2" x14ac:dyDescent="0.2">
      <c r="A112" s="122" t="s">
        <v>1169</v>
      </c>
      <c r="B112" s="160" t="s">
        <v>1267</v>
      </c>
      <c r="C112" s="161"/>
      <c r="D112" s="162">
        <v>1</v>
      </c>
      <c r="E112" s="61"/>
      <c r="F112" s="163"/>
      <c r="G112" s="164"/>
      <c r="H112" s="112"/>
      <c r="I112" s="202" t="s">
        <v>1553</v>
      </c>
      <c r="J112" s="109" t="str">
        <f t="shared" si="7"/>
        <v>A</v>
      </c>
      <c r="K112" s="109" t="s">
        <v>1601</v>
      </c>
      <c r="L112" s="110">
        <f t="shared" ca="1" si="9"/>
        <v>46077</v>
      </c>
    </row>
    <row r="113" spans="1:12" outlineLevel="2" x14ac:dyDescent="0.2">
      <c r="A113" s="122" t="s">
        <v>1170</v>
      </c>
      <c r="B113" s="155" t="s">
        <v>1191</v>
      </c>
      <c r="C113" s="156"/>
      <c r="D113" s="157">
        <v>1</v>
      </c>
      <c r="E113" s="61"/>
      <c r="F113" s="158"/>
      <c r="G113" s="159"/>
      <c r="H113" s="112"/>
      <c r="I113" s="202" t="s">
        <v>1554</v>
      </c>
      <c r="J113" s="109" t="str">
        <f t="shared" si="7"/>
        <v>A</v>
      </c>
      <c r="K113" s="109" t="s">
        <v>1602</v>
      </c>
      <c r="L113" s="110">
        <f t="shared" ca="1" si="9"/>
        <v>46077</v>
      </c>
    </row>
    <row r="114" spans="1:12" outlineLevel="2" x14ac:dyDescent="0.2">
      <c r="A114" s="122" t="s">
        <v>1171</v>
      </c>
      <c r="B114" s="155" t="s">
        <v>1190</v>
      </c>
      <c r="C114" s="156"/>
      <c r="D114" s="157">
        <v>1</v>
      </c>
      <c r="E114" s="61"/>
      <c r="F114" s="158"/>
      <c r="G114" s="159"/>
      <c r="H114" s="112"/>
      <c r="I114" s="202" t="s">
        <v>1554</v>
      </c>
      <c r="J114" s="109" t="str">
        <f t="shared" si="7"/>
        <v>A</v>
      </c>
      <c r="K114" s="109" t="s">
        <v>1603</v>
      </c>
      <c r="L114" s="110">
        <f t="shared" ca="1" si="9"/>
        <v>46077</v>
      </c>
    </row>
    <row r="115" spans="1:12" outlineLevel="2" x14ac:dyDescent="0.2">
      <c r="A115" s="122" t="s">
        <v>1172</v>
      </c>
      <c r="B115" s="155" t="s">
        <v>1307</v>
      </c>
      <c r="C115" s="156"/>
      <c r="D115" s="157">
        <v>1</v>
      </c>
      <c r="E115" s="61"/>
      <c r="F115" s="158"/>
      <c r="G115" s="159"/>
      <c r="H115" s="112"/>
      <c r="I115" s="202" t="s">
        <v>1552</v>
      </c>
      <c r="J115" s="109" t="str">
        <f t="shared" si="7"/>
        <v>A</v>
      </c>
      <c r="K115" s="109" t="s">
        <v>1604</v>
      </c>
      <c r="L115" s="110">
        <f t="shared" ca="1" si="9"/>
        <v>46077</v>
      </c>
    </row>
    <row r="116" spans="1:12" outlineLevel="2" x14ac:dyDescent="0.2">
      <c r="A116" s="122" t="s">
        <v>1189</v>
      </c>
      <c r="B116" s="155" t="s">
        <v>1007</v>
      </c>
      <c r="C116" s="156"/>
      <c r="D116" s="157">
        <v>1</v>
      </c>
      <c r="E116" s="61"/>
      <c r="F116" s="158"/>
      <c r="G116" s="159"/>
      <c r="H116" s="112"/>
      <c r="I116" s="202" t="s">
        <v>1552</v>
      </c>
      <c r="J116" s="109" t="str">
        <f t="shared" si="7"/>
        <v>A</v>
      </c>
      <c r="K116" s="109" t="s">
        <v>1605</v>
      </c>
      <c r="L116" s="110">
        <f t="shared" ca="1" si="9"/>
        <v>46077</v>
      </c>
    </row>
    <row r="117" spans="1:12" outlineLevel="2" x14ac:dyDescent="0.2">
      <c r="A117" s="122" t="s">
        <v>1147</v>
      </c>
      <c r="B117" s="155" t="s">
        <v>561</v>
      </c>
      <c r="C117" s="156" t="s">
        <v>540</v>
      </c>
      <c r="D117" s="157">
        <v>1</v>
      </c>
      <c r="E117" s="61"/>
      <c r="F117" s="158"/>
      <c r="G117" s="159"/>
      <c r="H117" s="112"/>
      <c r="I117" s="202"/>
      <c r="J117" s="109" t="str">
        <f t="shared" si="7"/>
        <v/>
      </c>
      <c r="K117" s="109" t="s">
        <v>1768</v>
      </c>
      <c r="L117" s="110" t="str">
        <f t="shared" ca="1" si="8"/>
        <v/>
      </c>
    </row>
    <row r="118" spans="1:12" outlineLevel="2" x14ac:dyDescent="0.2">
      <c r="A118" s="122" t="s">
        <v>1148</v>
      </c>
      <c r="B118" s="155" t="s">
        <v>562</v>
      </c>
      <c r="C118" s="156" t="s">
        <v>541</v>
      </c>
      <c r="D118" s="157">
        <v>1</v>
      </c>
      <c r="E118" s="61"/>
      <c r="F118" s="158"/>
      <c r="G118" s="159"/>
      <c r="H118" s="112"/>
      <c r="I118" s="202"/>
      <c r="J118" s="109" t="str">
        <f t="shared" si="7"/>
        <v/>
      </c>
      <c r="K118" s="109" t="s">
        <v>1768</v>
      </c>
      <c r="L118" s="110" t="str">
        <f t="shared" ca="1" si="8"/>
        <v/>
      </c>
    </row>
    <row r="119" spans="1:12" outlineLevel="2" x14ac:dyDescent="0.2">
      <c r="A119" s="122" t="s">
        <v>1149</v>
      </c>
      <c r="B119" s="155" t="s">
        <v>563</v>
      </c>
      <c r="C119" s="156" t="s">
        <v>542</v>
      </c>
      <c r="D119" s="157">
        <v>1</v>
      </c>
      <c r="E119" s="61"/>
      <c r="F119" s="158"/>
      <c r="G119" s="159"/>
      <c r="H119" s="112"/>
      <c r="I119" s="202"/>
      <c r="J119" s="109" t="str">
        <f t="shared" si="7"/>
        <v/>
      </c>
      <c r="K119" s="109" t="s">
        <v>1768</v>
      </c>
      <c r="L119" s="110" t="str">
        <f t="shared" ca="1" si="8"/>
        <v/>
      </c>
    </row>
    <row r="120" spans="1:12" outlineLevel="2" x14ac:dyDescent="0.2">
      <c r="A120" s="122" t="s">
        <v>1150</v>
      </c>
      <c r="B120" s="155" t="s">
        <v>521</v>
      </c>
      <c r="C120" s="156" t="s">
        <v>520</v>
      </c>
      <c r="D120" s="157">
        <v>1</v>
      </c>
      <c r="E120" s="61"/>
      <c r="F120" s="158"/>
      <c r="G120" s="159"/>
      <c r="H120" s="112"/>
      <c r="I120" s="202"/>
      <c r="J120" s="109" t="str">
        <f t="shared" si="7"/>
        <v/>
      </c>
      <c r="K120" s="109" t="s">
        <v>1768</v>
      </c>
      <c r="L120" s="110" t="str">
        <f t="shared" ca="1" si="8"/>
        <v/>
      </c>
    </row>
    <row r="121" spans="1:12" outlineLevel="2" x14ac:dyDescent="0.2">
      <c r="A121" s="122" t="s">
        <v>1151</v>
      </c>
      <c r="B121" s="155" t="s">
        <v>564</v>
      </c>
      <c r="C121" s="156" t="s">
        <v>543</v>
      </c>
      <c r="D121" s="157">
        <v>2</v>
      </c>
      <c r="E121" s="61"/>
      <c r="F121" s="158"/>
      <c r="G121" s="159"/>
      <c r="H121" s="112"/>
      <c r="I121" s="202"/>
      <c r="J121" s="109" t="str">
        <f t="shared" si="7"/>
        <v/>
      </c>
      <c r="K121" s="109" t="s">
        <v>1768</v>
      </c>
      <c r="L121" s="110" t="str">
        <f t="shared" ca="1" si="8"/>
        <v/>
      </c>
    </row>
    <row r="122" spans="1:12" outlineLevel="2" x14ac:dyDescent="0.2">
      <c r="A122" s="122" t="s">
        <v>1152</v>
      </c>
      <c r="B122" s="155" t="s">
        <v>565</v>
      </c>
      <c r="C122" s="156" t="s">
        <v>544</v>
      </c>
      <c r="D122" s="157">
        <v>2</v>
      </c>
      <c r="E122" s="61"/>
      <c r="F122" s="158"/>
      <c r="G122" s="159"/>
      <c r="H122" s="112"/>
      <c r="I122" s="202"/>
      <c r="J122" s="109" t="str">
        <f t="shared" si="7"/>
        <v/>
      </c>
      <c r="K122" s="109" t="s">
        <v>1768</v>
      </c>
      <c r="L122" s="110" t="str">
        <f t="shared" ca="1" si="8"/>
        <v/>
      </c>
    </row>
    <row r="123" spans="1:12" outlineLevel="2" x14ac:dyDescent="0.2">
      <c r="A123" s="122" t="s">
        <v>1153</v>
      </c>
      <c r="B123" s="155" t="s">
        <v>477</v>
      </c>
      <c r="C123" s="156" t="s">
        <v>476</v>
      </c>
      <c r="D123" s="157">
        <v>3</v>
      </c>
      <c r="E123" s="61"/>
      <c r="F123" s="158"/>
      <c r="G123" s="159"/>
      <c r="H123" s="112"/>
      <c r="I123" s="202"/>
      <c r="J123" s="109" t="str">
        <f t="shared" si="7"/>
        <v/>
      </c>
      <c r="K123" s="109" t="s">
        <v>1768</v>
      </c>
      <c r="L123" s="110" t="str">
        <f t="shared" ca="1" si="8"/>
        <v/>
      </c>
    </row>
    <row r="124" spans="1:12" outlineLevel="2" x14ac:dyDescent="0.2">
      <c r="A124" s="122" t="s">
        <v>1154</v>
      </c>
      <c r="B124" s="155" t="s">
        <v>479</v>
      </c>
      <c r="C124" s="156" t="s">
        <v>478</v>
      </c>
      <c r="D124" s="157">
        <v>5</v>
      </c>
      <c r="E124" s="61"/>
      <c r="F124" s="158"/>
      <c r="G124" s="159"/>
      <c r="H124" s="112"/>
      <c r="I124" s="202"/>
      <c r="J124" s="109" t="str">
        <f t="shared" si="7"/>
        <v/>
      </c>
      <c r="K124" s="109" t="s">
        <v>1768</v>
      </c>
      <c r="L124" s="110" t="str">
        <f t="shared" ca="1" si="8"/>
        <v/>
      </c>
    </row>
    <row r="125" spans="1:12" outlineLevel="2" x14ac:dyDescent="0.2">
      <c r="A125" s="122" t="s">
        <v>1155</v>
      </c>
      <c r="B125" s="155" t="s">
        <v>566</v>
      </c>
      <c r="C125" s="156" t="s">
        <v>545</v>
      </c>
      <c r="D125" s="157">
        <v>6</v>
      </c>
      <c r="E125" s="61"/>
      <c r="F125" s="158"/>
      <c r="G125" s="159"/>
      <c r="H125" s="112"/>
      <c r="I125" s="202"/>
      <c r="J125" s="109" t="str">
        <f t="shared" si="7"/>
        <v/>
      </c>
      <c r="K125" s="109" t="s">
        <v>1768</v>
      </c>
      <c r="L125" s="110" t="str">
        <f t="shared" ca="1" si="8"/>
        <v/>
      </c>
    </row>
    <row r="126" spans="1:12" outlineLevel="2" x14ac:dyDescent="0.2">
      <c r="A126" s="122" t="s">
        <v>1156</v>
      </c>
      <c r="B126" s="155" t="s">
        <v>567</v>
      </c>
      <c r="C126" s="156" t="s">
        <v>546</v>
      </c>
      <c r="D126" s="157">
        <v>9</v>
      </c>
      <c r="E126" s="61"/>
      <c r="F126" s="158"/>
      <c r="G126" s="159"/>
      <c r="H126" s="112"/>
      <c r="I126" s="202"/>
      <c r="J126" s="109" t="str">
        <f t="shared" si="7"/>
        <v/>
      </c>
      <c r="K126" s="109" t="s">
        <v>1768</v>
      </c>
      <c r="L126" s="110" t="str">
        <f t="shared" ca="1" si="8"/>
        <v/>
      </c>
    </row>
    <row r="127" spans="1:12" outlineLevel="2" x14ac:dyDescent="0.2">
      <c r="A127" s="122" t="s">
        <v>1157</v>
      </c>
      <c r="B127" s="155" t="s">
        <v>568</v>
      </c>
      <c r="C127" s="156" t="s">
        <v>547</v>
      </c>
      <c r="D127" s="157">
        <v>9</v>
      </c>
      <c r="E127" s="61"/>
      <c r="F127" s="158"/>
      <c r="G127" s="159"/>
      <c r="H127" s="112"/>
      <c r="I127" s="202"/>
      <c r="J127" s="109" t="str">
        <f t="shared" si="7"/>
        <v/>
      </c>
      <c r="K127" s="109" t="s">
        <v>1768</v>
      </c>
      <c r="L127" s="110" t="str">
        <f t="shared" ca="1" si="8"/>
        <v/>
      </c>
    </row>
    <row r="128" spans="1:12" outlineLevel="2" x14ac:dyDescent="0.2">
      <c r="A128" s="122" t="s">
        <v>1158</v>
      </c>
      <c r="B128" s="155" t="s">
        <v>487</v>
      </c>
      <c r="C128" s="156" t="s">
        <v>486</v>
      </c>
      <c r="D128" s="157">
        <v>12</v>
      </c>
      <c r="E128" s="61"/>
      <c r="F128" s="158"/>
      <c r="G128" s="159"/>
      <c r="H128" s="112"/>
      <c r="I128" s="202"/>
      <c r="J128" s="109" t="str">
        <f t="shared" si="7"/>
        <v/>
      </c>
      <c r="K128" s="109" t="s">
        <v>1768</v>
      </c>
      <c r="L128" s="110" t="str">
        <f t="shared" ca="1" si="8"/>
        <v/>
      </c>
    </row>
    <row r="129" spans="1:12" outlineLevel="2" x14ac:dyDescent="0.2">
      <c r="A129" s="122" t="s">
        <v>1159</v>
      </c>
      <c r="B129" s="155" t="s">
        <v>569</v>
      </c>
      <c r="C129" s="156" t="s">
        <v>548</v>
      </c>
      <c r="D129" s="157">
        <v>6</v>
      </c>
      <c r="E129" s="61"/>
      <c r="F129" s="158"/>
      <c r="G129" s="159"/>
      <c r="H129" s="112"/>
      <c r="I129" s="202"/>
      <c r="J129" s="109" t="str">
        <f t="shared" si="7"/>
        <v/>
      </c>
      <c r="K129" s="109" t="s">
        <v>1768</v>
      </c>
      <c r="L129" s="110" t="str">
        <f t="shared" ca="1" si="8"/>
        <v/>
      </c>
    </row>
    <row r="130" spans="1:12" outlineLevel="2" x14ac:dyDescent="0.2">
      <c r="A130" s="122" t="s">
        <v>1173</v>
      </c>
      <c r="B130" s="155" t="s">
        <v>491</v>
      </c>
      <c r="C130" s="156" t="s">
        <v>490</v>
      </c>
      <c r="D130" s="157">
        <v>3</v>
      </c>
      <c r="E130" s="61"/>
      <c r="F130" s="158"/>
      <c r="G130" s="159"/>
      <c r="H130" s="112"/>
      <c r="I130" s="202"/>
      <c r="J130" s="109" t="str">
        <f t="shared" si="7"/>
        <v/>
      </c>
      <c r="K130" s="109" t="s">
        <v>1768</v>
      </c>
      <c r="L130" s="110" t="str">
        <f t="shared" ca="1" si="8"/>
        <v/>
      </c>
    </row>
    <row r="131" spans="1:12" outlineLevel="2" x14ac:dyDescent="0.2">
      <c r="A131" s="122" t="s">
        <v>1174</v>
      </c>
      <c r="B131" s="155" t="s">
        <v>570</v>
      </c>
      <c r="C131" s="156" t="s">
        <v>549</v>
      </c>
      <c r="D131" s="157">
        <v>21</v>
      </c>
      <c r="E131" s="61"/>
      <c r="F131" s="158"/>
      <c r="G131" s="159"/>
      <c r="H131" s="112"/>
      <c r="I131" s="202"/>
      <c r="J131" s="109" t="str">
        <f t="shared" si="7"/>
        <v/>
      </c>
      <c r="K131" s="109" t="s">
        <v>1768</v>
      </c>
      <c r="L131" s="110" t="str">
        <f t="shared" ca="1" si="8"/>
        <v/>
      </c>
    </row>
    <row r="132" spans="1:12" outlineLevel="2" x14ac:dyDescent="0.2">
      <c r="A132" s="122" t="s">
        <v>1175</v>
      </c>
      <c r="B132" s="155" t="s">
        <v>571</v>
      </c>
      <c r="C132" s="156" t="s">
        <v>550</v>
      </c>
      <c r="D132" s="157">
        <v>1</v>
      </c>
      <c r="E132" s="61"/>
      <c r="F132" s="158"/>
      <c r="G132" s="159"/>
      <c r="H132" s="112"/>
      <c r="I132" s="202"/>
      <c r="J132" s="109" t="str">
        <f t="shared" si="7"/>
        <v/>
      </c>
      <c r="K132" s="109" t="s">
        <v>1768</v>
      </c>
      <c r="L132" s="110" t="str">
        <f t="shared" ca="1" si="8"/>
        <v/>
      </c>
    </row>
    <row r="133" spans="1:12" outlineLevel="2" x14ac:dyDescent="0.2">
      <c r="A133" s="122" t="s">
        <v>1176</v>
      </c>
      <c r="B133" s="155" t="s">
        <v>495</v>
      </c>
      <c r="C133" s="156" t="s">
        <v>494</v>
      </c>
      <c r="D133" s="157">
        <v>3</v>
      </c>
      <c r="E133" s="61"/>
      <c r="F133" s="158"/>
      <c r="G133" s="159"/>
      <c r="H133" s="112"/>
      <c r="I133" s="202"/>
      <c r="J133" s="109" t="str">
        <f t="shared" si="7"/>
        <v/>
      </c>
      <c r="K133" s="109" t="s">
        <v>1768</v>
      </c>
      <c r="L133" s="110" t="str">
        <f t="shared" ca="1" si="8"/>
        <v/>
      </c>
    </row>
    <row r="134" spans="1:12" outlineLevel="2" x14ac:dyDescent="0.2">
      <c r="A134" s="122" t="s">
        <v>1177</v>
      </c>
      <c r="B134" s="155" t="s">
        <v>572</v>
      </c>
      <c r="C134" s="156" t="s">
        <v>551</v>
      </c>
      <c r="D134" s="157">
        <v>3</v>
      </c>
      <c r="E134" s="61"/>
      <c r="F134" s="158"/>
      <c r="G134" s="159"/>
      <c r="H134" s="112"/>
      <c r="I134" s="202"/>
      <c r="J134" s="109" t="str">
        <f t="shared" si="7"/>
        <v/>
      </c>
      <c r="K134" s="109" t="s">
        <v>1768</v>
      </c>
      <c r="L134" s="110" t="str">
        <f t="shared" ca="1" si="8"/>
        <v/>
      </c>
    </row>
    <row r="135" spans="1:12" outlineLevel="2" x14ac:dyDescent="0.2">
      <c r="A135" s="122" t="s">
        <v>1178</v>
      </c>
      <c r="B135" s="155" t="s">
        <v>573</v>
      </c>
      <c r="C135" s="156" t="s">
        <v>552</v>
      </c>
      <c r="D135" s="157">
        <v>2</v>
      </c>
      <c r="E135" s="61"/>
      <c r="F135" s="158"/>
      <c r="G135" s="159"/>
      <c r="H135" s="112"/>
      <c r="I135" s="202"/>
      <c r="J135" s="109" t="str">
        <f t="shared" si="7"/>
        <v/>
      </c>
      <c r="K135" s="109" t="s">
        <v>1768</v>
      </c>
      <c r="L135" s="110" t="str">
        <f t="shared" ca="1" si="8"/>
        <v/>
      </c>
    </row>
    <row r="136" spans="1:12" outlineLevel="2" x14ac:dyDescent="0.2">
      <c r="A136" s="122" t="s">
        <v>1179</v>
      </c>
      <c r="B136" s="155" t="s">
        <v>574</v>
      </c>
      <c r="C136" s="156" t="s">
        <v>553</v>
      </c>
      <c r="D136" s="157">
        <v>1</v>
      </c>
      <c r="E136" s="61"/>
      <c r="F136" s="158"/>
      <c r="G136" s="159"/>
      <c r="H136" s="112"/>
      <c r="I136" s="202"/>
      <c r="J136" s="109" t="str">
        <f t="shared" si="7"/>
        <v/>
      </c>
      <c r="K136" s="109" t="s">
        <v>1768</v>
      </c>
      <c r="L136" s="110" t="str">
        <f t="shared" ca="1" si="8"/>
        <v/>
      </c>
    </row>
    <row r="137" spans="1:12" outlineLevel="2" x14ac:dyDescent="0.2">
      <c r="A137" s="122" t="s">
        <v>1180</v>
      </c>
      <c r="B137" s="155" t="s">
        <v>501</v>
      </c>
      <c r="C137" s="156" t="s">
        <v>500</v>
      </c>
      <c r="D137" s="157">
        <v>1</v>
      </c>
      <c r="E137" s="61"/>
      <c r="F137" s="158"/>
      <c r="G137" s="159"/>
      <c r="H137" s="112"/>
      <c r="I137" s="202"/>
      <c r="J137" s="109" t="str">
        <f t="shared" si="7"/>
        <v/>
      </c>
      <c r="K137" s="109" t="s">
        <v>1768</v>
      </c>
      <c r="L137" s="110" t="str">
        <f t="shared" ca="1" si="8"/>
        <v/>
      </c>
    </row>
    <row r="138" spans="1:12" outlineLevel="2" x14ac:dyDescent="0.2">
      <c r="A138" s="122" t="s">
        <v>1181</v>
      </c>
      <c r="B138" s="155" t="s">
        <v>575</v>
      </c>
      <c r="C138" s="156" t="s">
        <v>554</v>
      </c>
      <c r="D138" s="157">
        <v>2</v>
      </c>
      <c r="E138" s="61"/>
      <c r="F138" s="158"/>
      <c r="G138" s="159"/>
      <c r="H138" s="112"/>
      <c r="I138" s="202"/>
      <c r="J138" s="109" t="str">
        <f t="shared" si="7"/>
        <v/>
      </c>
      <c r="K138" s="109" t="s">
        <v>1768</v>
      </c>
      <c r="L138" s="110" t="str">
        <f t="shared" ca="1" si="8"/>
        <v/>
      </c>
    </row>
    <row r="139" spans="1:12" outlineLevel="2" x14ac:dyDescent="0.2">
      <c r="A139" s="122" t="s">
        <v>1182</v>
      </c>
      <c r="B139" s="155" t="s">
        <v>576</v>
      </c>
      <c r="C139" s="156" t="s">
        <v>555</v>
      </c>
      <c r="D139" s="157">
        <v>1</v>
      </c>
      <c r="E139" s="61"/>
      <c r="F139" s="158"/>
      <c r="G139" s="159"/>
      <c r="H139" s="112"/>
      <c r="I139" s="202"/>
      <c r="J139" s="109" t="str">
        <f t="shared" si="7"/>
        <v/>
      </c>
      <c r="K139" s="109" t="s">
        <v>1768</v>
      </c>
      <c r="L139" s="110" t="str">
        <f t="shared" ca="1" si="8"/>
        <v/>
      </c>
    </row>
    <row r="140" spans="1:12" outlineLevel="2" x14ac:dyDescent="0.2">
      <c r="A140" s="122" t="s">
        <v>1183</v>
      </c>
      <c r="B140" s="155" t="s">
        <v>505</v>
      </c>
      <c r="C140" s="156" t="s">
        <v>504</v>
      </c>
      <c r="D140" s="157">
        <v>1</v>
      </c>
      <c r="E140" s="61"/>
      <c r="F140" s="158"/>
      <c r="G140" s="159"/>
      <c r="H140" s="112"/>
      <c r="I140" s="202"/>
      <c r="J140" s="109" t="str">
        <f t="shared" si="7"/>
        <v/>
      </c>
      <c r="K140" s="109" t="s">
        <v>1768</v>
      </c>
      <c r="L140" s="110" t="str">
        <f t="shared" ca="1" si="8"/>
        <v/>
      </c>
    </row>
    <row r="141" spans="1:12" outlineLevel="2" x14ac:dyDescent="0.2">
      <c r="A141" s="122" t="s">
        <v>1184</v>
      </c>
      <c r="B141" s="155" t="s">
        <v>577</v>
      </c>
      <c r="C141" s="156" t="s">
        <v>556</v>
      </c>
      <c r="D141" s="157">
        <v>1</v>
      </c>
      <c r="E141" s="61"/>
      <c r="F141" s="158"/>
      <c r="G141" s="159"/>
      <c r="H141" s="112"/>
      <c r="I141" s="202"/>
      <c r="J141" s="109" t="str">
        <f t="shared" si="7"/>
        <v/>
      </c>
      <c r="K141" s="109" t="s">
        <v>1768</v>
      </c>
      <c r="L141" s="110" t="str">
        <f t="shared" ca="1" si="8"/>
        <v/>
      </c>
    </row>
    <row r="142" spans="1:12" outlineLevel="2" x14ac:dyDescent="0.2">
      <c r="A142" s="122" t="s">
        <v>1185</v>
      </c>
      <c r="B142" s="155" t="s">
        <v>509</v>
      </c>
      <c r="C142" s="156" t="s">
        <v>508</v>
      </c>
      <c r="D142" s="157">
        <v>1</v>
      </c>
      <c r="E142" s="61"/>
      <c r="F142" s="158"/>
      <c r="G142" s="159"/>
      <c r="H142" s="112"/>
      <c r="I142" s="202"/>
      <c r="J142" s="109" t="str">
        <f t="shared" si="7"/>
        <v/>
      </c>
      <c r="K142" s="109" t="s">
        <v>1768</v>
      </c>
      <c r="L142" s="110" t="str">
        <f t="shared" ca="1" si="8"/>
        <v/>
      </c>
    </row>
    <row r="143" spans="1:12" outlineLevel="2" x14ac:dyDescent="0.2">
      <c r="A143" s="122" t="s">
        <v>1186</v>
      </c>
      <c r="B143" s="155" t="s">
        <v>578</v>
      </c>
      <c r="C143" s="156" t="s">
        <v>557</v>
      </c>
      <c r="D143" s="157">
        <v>1</v>
      </c>
      <c r="E143" s="61"/>
      <c r="F143" s="158"/>
      <c r="G143" s="159"/>
      <c r="H143" s="112"/>
      <c r="I143" s="202"/>
      <c r="J143" s="109" t="str">
        <f t="shared" si="7"/>
        <v/>
      </c>
      <c r="K143" s="109" t="s">
        <v>1768</v>
      </c>
      <c r="L143" s="110" t="str">
        <f t="shared" ca="1" si="8"/>
        <v/>
      </c>
    </row>
    <row r="144" spans="1:12" outlineLevel="2" x14ac:dyDescent="0.2">
      <c r="A144" s="122" t="s">
        <v>1187</v>
      </c>
      <c r="B144" s="155" t="s">
        <v>579</v>
      </c>
      <c r="C144" s="156" t="s">
        <v>558</v>
      </c>
      <c r="D144" s="157">
        <v>2</v>
      </c>
      <c r="E144" s="61"/>
      <c r="F144" s="158"/>
      <c r="G144" s="159"/>
      <c r="H144" s="112"/>
      <c r="I144" s="202"/>
      <c r="J144" s="109" t="str">
        <f t="shared" si="7"/>
        <v/>
      </c>
      <c r="K144" s="109" t="s">
        <v>1768</v>
      </c>
      <c r="L144" s="110" t="str">
        <f t="shared" ca="1" si="8"/>
        <v/>
      </c>
    </row>
    <row r="145" spans="1:12" ht="13.5" outlineLevel="2" thickBot="1" x14ac:dyDescent="0.25">
      <c r="A145" s="122" t="s">
        <v>1188</v>
      </c>
      <c r="B145" s="165" t="s">
        <v>580</v>
      </c>
      <c r="C145" s="166" t="s">
        <v>559</v>
      </c>
      <c r="D145" s="167">
        <v>1</v>
      </c>
      <c r="E145" s="80"/>
      <c r="F145" s="168"/>
      <c r="G145" s="169"/>
      <c r="H145" s="113"/>
      <c r="I145" s="205"/>
      <c r="J145" s="129" t="str">
        <f t="shared" si="7"/>
        <v/>
      </c>
      <c r="K145" s="129" t="s">
        <v>1768</v>
      </c>
      <c r="L145" s="130" t="str">
        <f t="shared" ca="1" si="8"/>
        <v/>
      </c>
    </row>
    <row r="146" spans="1:12" ht="13.5" outlineLevel="2" thickBot="1" x14ac:dyDescent="0.25">
      <c r="A146" s="140"/>
      <c r="B146" s="126"/>
      <c r="C146" s="152"/>
      <c r="D146" s="149"/>
      <c r="E146" s="77"/>
      <c r="F146" s="170"/>
      <c r="G146" s="221"/>
      <c r="H146" s="222"/>
      <c r="I146" s="223"/>
      <c r="J146" s="224" t="str">
        <f t="shared" si="7"/>
        <v/>
      </c>
      <c r="K146" s="224" t="s">
        <v>1768</v>
      </c>
      <c r="L146" s="225" t="str">
        <f t="shared" ca="1" si="8"/>
        <v/>
      </c>
    </row>
    <row r="147" spans="1:12" outlineLevel="2" x14ac:dyDescent="0.2">
      <c r="A147" s="352">
        <v>4</v>
      </c>
      <c r="B147" s="354" t="s">
        <v>173</v>
      </c>
      <c r="C147" s="356" t="s">
        <v>174</v>
      </c>
      <c r="D147" s="358">
        <f>F148</f>
        <v>1</v>
      </c>
      <c r="E147" s="360">
        <v>675865.53</v>
      </c>
      <c r="F147" s="172">
        <v>675865.53</v>
      </c>
      <c r="G147" s="173"/>
      <c r="H147" s="365" t="s">
        <v>451</v>
      </c>
      <c r="I147" s="204"/>
      <c r="J147" s="131" t="str">
        <f t="shared" si="7"/>
        <v/>
      </c>
      <c r="K147" s="131" t="s">
        <v>1768</v>
      </c>
      <c r="L147" s="132" t="str">
        <f t="shared" ca="1" si="8"/>
        <v/>
      </c>
    </row>
    <row r="148" spans="1:12" outlineLevel="2" x14ac:dyDescent="0.2">
      <c r="A148" s="353"/>
      <c r="B148" s="355"/>
      <c r="C148" s="357"/>
      <c r="D148" s="359"/>
      <c r="E148" s="361">
        <v>1</v>
      </c>
      <c r="F148" s="174">
        <v>1</v>
      </c>
      <c r="G148" s="175"/>
      <c r="H148" s="366"/>
      <c r="I148" s="202"/>
      <c r="J148" s="109" t="str">
        <f t="shared" si="7"/>
        <v/>
      </c>
      <c r="K148" s="109" t="s">
        <v>1768</v>
      </c>
      <c r="L148" s="110" t="str">
        <f t="shared" ca="1" si="8"/>
        <v/>
      </c>
    </row>
    <row r="149" spans="1:12" outlineLevel="2" x14ac:dyDescent="0.2">
      <c r="A149" s="122" t="s">
        <v>1282</v>
      </c>
      <c r="B149" s="155" t="s">
        <v>581</v>
      </c>
      <c r="C149" s="155" t="s">
        <v>587</v>
      </c>
      <c r="D149" s="176">
        <v>0</v>
      </c>
      <c r="E149" s="69"/>
      <c r="F149" s="174"/>
      <c r="G149" s="175"/>
      <c r="H149" s="107"/>
      <c r="I149" s="202"/>
      <c r="J149" s="109" t="str">
        <f t="shared" si="7"/>
        <v/>
      </c>
      <c r="K149" s="109" t="s">
        <v>1768</v>
      </c>
      <c r="L149" s="110" t="str">
        <f t="shared" ca="1" si="8"/>
        <v/>
      </c>
    </row>
    <row r="150" spans="1:12" outlineLevel="2" x14ac:dyDescent="0.2">
      <c r="A150" s="122" t="s">
        <v>1268</v>
      </c>
      <c r="B150" s="155" t="s">
        <v>999</v>
      </c>
      <c r="C150" s="156"/>
      <c r="D150" s="157">
        <v>1</v>
      </c>
      <c r="E150" s="69"/>
      <c r="F150" s="174"/>
      <c r="G150" s="175"/>
      <c r="H150" s="107"/>
      <c r="I150" s="202" t="s">
        <v>1554</v>
      </c>
      <c r="J150" s="109" t="str">
        <f t="shared" ref="J150:J163" si="10">IF(I150="","", "A")</f>
        <v>A</v>
      </c>
      <c r="K150" s="109" t="s">
        <v>1592</v>
      </c>
      <c r="L150" s="110">
        <f ca="1">IF(I150="","",TODAY())</f>
        <v>46077</v>
      </c>
    </row>
    <row r="151" spans="1:12" outlineLevel="2" x14ac:dyDescent="0.2">
      <c r="A151" s="122" t="s">
        <v>1269</v>
      </c>
      <c r="B151" s="155" t="s">
        <v>1000</v>
      </c>
      <c r="C151" s="156"/>
      <c r="D151" s="157">
        <v>1</v>
      </c>
      <c r="E151" s="69"/>
      <c r="F151" s="174"/>
      <c r="G151" s="175"/>
      <c r="H151" s="107"/>
      <c r="I151" s="202" t="s">
        <v>1553</v>
      </c>
      <c r="J151" s="109" t="str">
        <f t="shared" si="10"/>
        <v>A</v>
      </c>
      <c r="K151" s="109" t="s">
        <v>1593</v>
      </c>
      <c r="L151" s="110">
        <f t="shared" ref="L151:L163" ca="1" si="11">IF(I151="","",TODAY())</f>
        <v>46077</v>
      </c>
    </row>
    <row r="152" spans="1:12" outlineLevel="2" x14ac:dyDescent="0.2">
      <c r="A152" s="122" t="s">
        <v>1270</v>
      </c>
      <c r="B152" s="155" t="s">
        <v>1001</v>
      </c>
      <c r="C152" s="156"/>
      <c r="D152" s="157">
        <v>1</v>
      </c>
      <c r="E152" s="69"/>
      <c r="F152" s="174"/>
      <c r="G152" s="175"/>
      <c r="H152" s="107"/>
      <c r="I152" s="202" t="s">
        <v>1553</v>
      </c>
      <c r="J152" s="109" t="str">
        <f t="shared" si="10"/>
        <v>A</v>
      </c>
      <c r="K152" s="109" t="s">
        <v>1594</v>
      </c>
      <c r="L152" s="110">
        <f t="shared" ca="1" si="11"/>
        <v>46077</v>
      </c>
    </row>
    <row r="153" spans="1:12" outlineLevel="2" x14ac:dyDescent="0.2">
      <c r="A153" s="122" t="s">
        <v>1271</v>
      </c>
      <c r="B153" s="155" t="s">
        <v>1002</v>
      </c>
      <c r="C153" s="156"/>
      <c r="D153" s="157">
        <v>1</v>
      </c>
      <c r="E153" s="69"/>
      <c r="F153" s="174"/>
      <c r="G153" s="175"/>
      <c r="H153" s="107"/>
      <c r="I153" s="202" t="s">
        <v>1553</v>
      </c>
      <c r="J153" s="109" t="str">
        <f t="shared" si="10"/>
        <v>A</v>
      </c>
      <c r="K153" s="109" t="s">
        <v>1595</v>
      </c>
      <c r="L153" s="110">
        <f t="shared" ca="1" si="11"/>
        <v>46077</v>
      </c>
    </row>
    <row r="154" spans="1:12" outlineLevel="2" x14ac:dyDescent="0.2">
      <c r="A154" s="122" t="s">
        <v>1272</v>
      </c>
      <c r="B154" s="160" t="s">
        <v>1003</v>
      </c>
      <c r="C154" s="161"/>
      <c r="D154" s="162">
        <v>1</v>
      </c>
      <c r="E154" s="69"/>
      <c r="F154" s="174"/>
      <c r="G154" s="175"/>
      <c r="H154" s="107"/>
      <c r="I154" s="202" t="s">
        <v>1556</v>
      </c>
      <c r="J154" s="109" t="str">
        <f t="shared" si="10"/>
        <v>A</v>
      </c>
      <c r="K154" s="109" t="s">
        <v>1596</v>
      </c>
      <c r="L154" s="110">
        <f t="shared" ca="1" si="11"/>
        <v>46077</v>
      </c>
    </row>
    <row r="155" spans="1:12" outlineLevel="2" x14ac:dyDescent="0.2">
      <c r="A155" s="122" t="s">
        <v>1273</v>
      </c>
      <c r="B155" s="155" t="s">
        <v>1004</v>
      </c>
      <c r="C155" s="156"/>
      <c r="D155" s="157">
        <v>1</v>
      </c>
      <c r="E155" s="69"/>
      <c r="F155" s="174"/>
      <c r="G155" s="175"/>
      <c r="H155" s="107"/>
      <c r="I155" s="202" t="s">
        <v>1554</v>
      </c>
      <c r="J155" s="109" t="str">
        <f t="shared" si="10"/>
        <v>A</v>
      </c>
      <c r="K155" s="109" t="s">
        <v>1597</v>
      </c>
      <c r="L155" s="110">
        <f t="shared" ca="1" si="11"/>
        <v>46077</v>
      </c>
    </row>
    <row r="156" spans="1:12" outlineLevel="2" x14ac:dyDescent="0.2">
      <c r="A156" s="122" t="s">
        <v>1274</v>
      </c>
      <c r="B156" s="155" t="s">
        <v>1005</v>
      </c>
      <c r="C156" s="156"/>
      <c r="D156" s="157">
        <v>1</v>
      </c>
      <c r="E156" s="69"/>
      <c r="F156" s="174"/>
      <c r="G156" s="175"/>
      <c r="H156" s="107"/>
      <c r="I156" s="202" t="s">
        <v>1553</v>
      </c>
      <c r="J156" s="109" t="str">
        <f t="shared" si="10"/>
        <v>A</v>
      </c>
      <c r="K156" s="109" t="s">
        <v>1598</v>
      </c>
      <c r="L156" s="110">
        <f t="shared" ca="1" si="11"/>
        <v>46077</v>
      </c>
    </row>
    <row r="157" spans="1:12" outlineLevel="2" x14ac:dyDescent="0.2">
      <c r="A157" s="122" t="s">
        <v>1275</v>
      </c>
      <c r="B157" s="155" t="s">
        <v>1006</v>
      </c>
      <c r="C157" s="156"/>
      <c r="D157" s="157">
        <v>1</v>
      </c>
      <c r="E157" s="69"/>
      <c r="F157" s="174"/>
      <c r="G157" s="175"/>
      <c r="H157" s="107"/>
      <c r="I157" s="202" t="s">
        <v>1553</v>
      </c>
      <c r="J157" s="109" t="str">
        <f t="shared" si="10"/>
        <v>A</v>
      </c>
      <c r="K157" s="109" t="s">
        <v>1599</v>
      </c>
      <c r="L157" s="110">
        <f t="shared" ca="1" si="11"/>
        <v>46077</v>
      </c>
    </row>
    <row r="158" spans="1:12" outlineLevel="2" x14ac:dyDescent="0.2">
      <c r="A158" s="122" t="s">
        <v>1276</v>
      </c>
      <c r="B158" s="155" t="s">
        <v>1266</v>
      </c>
      <c r="C158" s="156"/>
      <c r="D158" s="157">
        <v>1</v>
      </c>
      <c r="E158" s="69"/>
      <c r="F158" s="174"/>
      <c r="G158" s="175"/>
      <c r="H158" s="107"/>
      <c r="I158" s="202" t="s">
        <v>1557</v>
      </c>
      <c r="J158" s="109" t="str">
        <f t="shared" si="10"/>
        <v>A</v>
      </c>
      <c r="K158" s="109" t="s">
        <v>1600</v>
      </c>
      <c r="L158" s="110">
        <f t="shared" ca="1" si="11"/>
        <v>46077</v>
      </c>
    </row>
    <row r="159" spans="1:12" outlineLevel="2" x14ac:dyDescent="0.2">
      <c r="A159" s="122" t="s">
        <v>1277</v>
      </c>
      <c r="B159" s="160" t="s">
        <v>1267</v>
      </c>
      <c r="C159" s="161"/>
      <c r="D159" s="162">
        <v>1</v>
      </c>
      <c r="E159" s="69"/>
      <c r="F159" s="174"/>
      <c r="G159" s="175"/>
      <c r="H159" s="107"/>
      <c r="I159" s="202" t="s">
        <v>1553</v>
      </c>
      <c r="J159" s="109" t="str">
        <f t="shared" si="10"/>
        <v>A</v>
      </c>
      <c r="K159" s="109" t="s">
        <v>1601</v>
      </c>
      <c r="L159" s="110">
        <f t="shared" ca="1" si="11"/>
        <v>46077</v>
      </c>
    </row>
    <row r="160" spans="1:12" outlineLevel="2" x14ac:dyDescent="0.2">
      <c r="A160" s="122" t="s">
        <v>1278</v>
      </c>
      <c r="B160" s="155" t="s">
        <v>1191</v>
      </c>
      <c r="C160" s="156"/>
      <c r="D160" s="157">
        <v>1</v>
      </c>
      <c r="E160" s="69"/>
      <c r="F160" s="174"/>
      <c r="G160" s="175"/>
      <c r="H160" s="107"/>
      <c r="I160" s="202" t="s">
        <v>1554</v>
      </c>
      <c r="J160" s="109" t="str">
        <f t="shared" si="10"/>
        <v>A</v>
      </c>
      <c r="K160" s="109" t="s">
        <v>1602</v>
      </c>
      <c r="L160" s="110">
        <f t="shared" ca="1" si="11"/>
        <v>46077</v>
      </c>
    </row>
    <row r="161" spans="1:12" outlineLevel="2" x14ac:dyDescent="0.2">
      <c r="A161" s="122" t="s">
        <v>1279</v>
      </c>
      <c r="B161" s="155" t="s">
        <v>1190</v>
      </c>
      <c r="C161" s="156"/>
      <c r="D161" s="157">
        <v>1</v>
      </c>
      <c r="E161" s="69"/>
      <c r="F161" s="174"/>
      <c r="G161" s="175"/>
      <c r="H161" s="107"/>
      <c r="I161" s="202" t="s">
        <v>1554</v>
      </c>
      <c r="J161" s="109" t="str">
        <f t="shared" si="10"/>
        <v>A</v>
      </c>
      <c r="K161" s="109" t="s">
        <v>1603</v>
      </c>
      <c r="L161" s="110">
        <f t="shared" ca="1" si="11"/>
        <v>46077</v>
      </c>
    </row>
    <row r="162" spans="1:12" outlineLevel="2" x14ac:dyDescent="0.2">
      <c r="A162" s="122" t="s">
        <v>1280</v>
      </c>
      <c r="B162" s="155" t="s">
        <v>1307</v>
      </c>
      <c r="C162" s="156"/>
      <c r="D162" s="157">
        <v>1</v>
      </c>
      <c r="E162" s="69"/>
      <c r="F162" s="174"/>
      <c r="G162" s="175"/>
      <c r="H162" s="107"/>
      <c r="I162" s="202" t="s">
        <v>1552</v>
      </c>
      <c r="J162" s="109" t="str">
        <f t="shared" si="10"/>
        <v>A</v>
      </c>
      <c r="K162" s="109" t="s">
        <v>1604</v>
      </c>
      <c r="L162" s="110">
        <f t="shared" ca="1" si="11"/>
        <v>46077</v>
      </c>
    </row>
    <row r="163" spans="1:12" outlineLevel="2" x14ac:dyDescent="0.2">
      <c r="A163" s="122" t="s">
        <v>1281</v>
      </c>
      <c r="B163" s="155" t="s">
        <v>1007</v>
      </c>
      <c r="C163" s="156"/>
      <c r="D163" s="157">
        <v>1</v>
      </c>
      <c r="E163" s="69"/>
      <c r="F163" s="174"/>
      <c r="G163" s="175"/>
      <c r="H163" s="107"/>
      <c r="I163" s="202" t="s">
        <v>1552</v>
      </c>
      <c r="J163" s="109" t="str">
        <f t="shared" si="10"/>
        <v>A</v>
      </c>
      <c r="K163" s="109" t="s">
        <v>1605</v>
      </c>
      <c r="L163" s="110">
        <f t="shared" ca="1" si="11"/>
        <v>46077</v>
      </c>
    </row>
    <row r="164" spans="1:12" outlineLevel="2" x14ac:dyDescent="0.2">
      <c r="A164" s="122" t="s">
        <v>1283</v>
      </c>
      <c r="B164" s="155" t="s">
        <v>582</v>
      </c>
      <c r="C164" s="155" t="s">
        <v>588</v>
      </c>
      <c r="D164" s="176">
        <v>1</v>
      </c>
      <c r="E164" s="69"/>
      <c r="F164" s="174"/>
      <c r="G164" s="175"/>
      <c r="H164" s="107"/>
      <c r="I164" s="202"/>
      <c r="J164" s="109" t="str">
        <f t="shared" si="7"/>
        <v/>
      </c>
      <c r="K164" s="109" t="s">
        <v>1768</v>
      </c>
      <c r="L164" s="110" t="str">
        <f t="shared" ca="1" si="8"/>
        <v/>
      </c>
    </row>
    <row r="165" spans="1:12" outlineLevel="2" x14ac:dyDescent="0.2">
      <c r="A165" s="122" t="s">
        <v>1284</v>
      </c>
      <c r="B165" s="155" t="s">
        <v>583</v>
      </c>
      <c r="C165" s="155" t="s">
        <v>589</v>
      </c>
      <c r="D165" s="176">
        <v>3</v>
      </c>
      <c r="E165" s="69"/>
      <c r="F165" s="174"/>
      <c r="G165" s="175"/>
      <c r="H165" s="107"/>
      <c r="I165" s="202"/>
      <c r="J165" s="109" t="str">
        <f t="shared" si="7"/>
        <v/>
      </c>
      <c r="K165" s="109" t="s">
        <v>1768</v>
      </c>
      <c r="L165" s="110" t="str">
        <f t="shared" ca="1" si="8"/>
        <v/>
      </c>
    </row>
    <row r="166" spans="1:12" outlineLevel="2" x14ac:dyDescent="0.2">
      <c r="A166" s="122" t="s">
        <v>1285</v>
      </c>
      <c r="B166" s="155" t="s">
        <v>584</v>
      </c>
      <c r="C166" s="155" t="s">
        <v>590</v>
      </c>
      <c r="D166" s="176">
        <v>3</v>
      </c>
      <c r="E166" s="69"/>
      <c r="F166" s="174"/>
      <c r="G166" s="175"/>
      <c r="H166" s="107"/>
      <c r="I166" s="202"/>
      <c r="J166" s="109" t="str">
        <f t="shared" si="7"/>
        <v/>
      </c>
      <c r="K166" s="109" t="s">
        <v>1768</v>
      </c>
      <c r="L166" s="110" t="str">
        <f t="shared" ca="1" si="8"/>
        <v/>
      </c>
    </row>
    <row r="167" spans="1:12" outlineLevel="2" x14ac:dyDescent="0.2">
      <c r="A167" s="122" t="s">
        <v>1286</v>
      </c>
      <c r="B167" s="155" t="s">
        <v>585</v>
      </c>
      <c r="C167" s="155" t="s">
        <v>591</v>
      </c>
      <c r="D167" s="176">
        <v>3</v>
      </c>
      <c r="E167" s="69"/>
      <c r="F167" s="174"/>
      <c r="G167" s="175"/>
      <c r="H167" s="107"/>
      <c r="I167" s="202"/>
      <c r="J167" s="109" t="str">
        <f t="shared" si="7"/>
        <v/>
      </c>
      <c r="K167" s="109" t="s">
        <v>1768</v>
      </c>
      <c r="L167" s="110" t="str">
        <f t="shared" ca="1" si="8"/>
        <v/>
      </c>
    </row>
    <row r="168" spans="1:12" ht="13.5" outlineLevel="2" thickBot="1" x14ac:dyDescent="0.25">
      <c r="A168" s="122" t="s">
        <v>1287</v>
      </c>
      <c r="B168" s="165" t="s">
        <v>586</v>
      </c>
      <c r="C168" s="165" t="s">
        <v>592</v>
      </c>
      <c r="D168" s="177">
        <v>3</v>
      </c>
      <c r="E168" s="81"/>
      <c r="F168" s="178"/>
      <c r="G168" s="179"/>
      <c r="H168" s="108"/>
      <c r="I168" s="205"/>
      <c r="J168" s="129" t="str">
        <f t="shared" si="7"/>
        <v/>
      </c>
      <c r="K168" s="129" t="s">
        <v>1768</v>
      </c>
      <c r="L168" s="130" t="str">
        <f t="shared" ca="1" si="8"/>
        <v/>
      </c>
    </row>
    <row r="169" spans="1:12" outlineLevel="2" x14ac:dyDescent="0.2">
      <c r="A169" s="141"/>
      <c r="B169" s="144"/>
      <c r="C169" s="153"/>
      <c r="D169" s="150"/>
      <c r="E169" s="59"/>
      <c r="F169" s="180"/>
      <c r="G169" s="181"/>
      <c r="H169" s="114"/>
      <c r="I169" s="211"/>
      <c r="J169" s="203" t="str">
        <f t="shared" ref="J169:J170" si="12">IF(I169="","", "A")</f>
        <v/>
      </c>
      <c r="K169" s="203" t="s">
        <v>1768</v>
      </c>
      <c r="L169" s="212" t="str">
        <f t="shared" ref="L169:L170" ca="1" si="13">IF(I169="","",TODAY())</f>
        <v/>
      </c>
    </row>
    <row r="170" spans="1:12" ht="13.5" outlineLevel="2" thickBot="1" x14ac:dyDescent="0.25">
      <c r="A170" s="142"/>
      <c r="B170" s="83"/>
      <c r="C170" s="154"/>
      <c r="D170" s="151"/>
      <c r="E170" s="84"/>
      <c r="F170" s="182"/>
      <c r="G170" s="183"/>
      <c r="H170" s="115"/>
      <c r="I170" s="218"/>
      <c r="J170" s="219" t="str">
        <f t="shared" si="12"/>
        <v/>
      </c>
      <c r="K170" s="219" t="s">
        <v>1768</v>
      </c>
      <c r="L170" s="220" t="str">
        <f t="shared" ca="1" si="13"/>
        <v/>
      </c>
    </row>
    <row r="171" spans="1:12" outlineLevel="2" x14ac:dyDescent="0.2">
      <c r="A171" s="352">
        <v>5</v>
      </c>
      <c r="B171" s="354" t="s">
        <v>175</v>
      </c>
      <c r="C171" s="356" t="s">
        <v>176</v>
      </c>
      <c r="D171" s="358">
        <f>F172</f>
        <v>1</v>
      </c>
      <c r="E171" s="380">
        <v>643894.1</v>
      </c>
      <c r="F171" s="184">
        <v>643894.1</v>
      </c>
      <c r="G171" s="185"/>
      <c r="H171" s="378" t="s">
        <v>451</v>
      </c>
      <c r="I171" s="202"/>
      <c r="J171" s="109" t="str">
        <f t="shared" si="7"/>
        <v/>
      </c>
      <c r="K171" s="109" t="s">
        <v>1768</v>
      </c>
      <c r="L171" s="110" t="str">
        <f t="shared" ca="1" si="8"/>
        <v/>
      </c>
    </row>
    <row r="172" spans="1:12" outlineLevel="2" x14ac:dyDescent="0.2">
      <c r="A172" s="353"/>
      <c r="B172" s="355"/>
      <c r="C172" s="357"/>
      <c r="D172" s="359"/>
      <c r="E172" s="368">
        <v>1</v>
      </c>
      <c r="F172" s="158">
        <v>1</v>
      </c>
      <c r="G172" s="159"/>
      <c r="H172" s="377"/>
      <c r="I172" s="202"/>
      <c r="J172" s="109" t="str">
        <f t="shared" si="7"/>
        <v/>
      </c>
      <c r="K172" s="109" t="s">
        <v>1768</v>
      </c>
      <c r="L172" s="110" t="str">
        <f t="shared" ca="1" si="8"/>
        <v/>
      </c>
    </row>
    <row r="173" spans="1:12" outlineLevel="2" x14ac:dyDescent="0.2">
      <c r="A173" s="122" t="s">
        <v>1302</v>
      </c>
      <c r="B173" s="155" t="s">
        <v>593</v>
      </c>
      <c r="C173" s="156" t="s">
        <v>596</v>
      </c>
      <c r="D173" s="157">
        <v>0</v>
      </c>
      <c r="E173" s="61"/>
      <c r="F173" s="158"/>
      <c r="G173" s="159"/>
      <c r="H173" s="112"/>
      <c r="I173" s="202"/>
      <c r="J173" s="109" t="str">
        <f t="shared" si="7"/>
        <v/>
      </c>
      <c r="K173" s="109" t="s">
        <v>1768</v>
      </c>
      <c r="L173" s="110" t="str">
        <f t="shared" ca="1" si="8"/>
        <v/>
      </c>
    </row>
    <row r="174" spans="1:12" outlineLevel="2" x14ac:dyDescent="0.2">
      <c r="A174" s="122" t="s">
        <v>1288</v>
      </c>
      <c r="B174" s="155" t="s">
        <v>999</v>
      </c>
      <c r="C174" s="156"/>
      <c r="D174" s="157">
        <v>1</v>
      </c>
      <c r="E174" s="61"/>
      <c r="F174" s="158"/>
      <c r="G174" s="159"/>
      <c r="H174" s="112"/>
      <c r="I174" s="202" t="s">
        <v>1554</v>
      </c>
      <c r="J174" s="109" t="str">
        <f t="shared" ref="J174:J187" si="14">IF(I174="","", "A")</f>
        <v>A</v>
      </c>
      <c r="K174" s="109" t="s">
        <v>1592</v>
      </c>
      <c r="L174" s="110">
        <f ca="1">IF(I174="","",TODAY())</f>
        <v>46077</v>
      </c>
    </row>
    <row r="175" spans="1:12" outlineLevel="2" x14ac:dyDescent="0.2">
      <c r="A175" s="122" t="s">
        <v>1289</v>
      </c>
      <c r="B175" s="155" t="s">
        <v>1000</v>
      </c>
      <c r="C175" s="156"/>
      <c r="D175" s="157">
        <v>1</v>
      </c>
      <c r="E175" s="61"/>
      <c r="F175" s="158"/>
      <c r="G175" s="159"/>
      <c r="H175" s="112"/>
      <c r="I175" s="202" t="s">
        <v>1553</v>
      </c>
      <c r="J175" s="109" t="str">
        <f t="shared" si="14"/>
        <v>A</v>
      </c>
      <c r="K175" s="109" t="s">
        <v>1593</v>
      </c>
      <c r="L175" s="110">
        <f t="shared" ref="L175:L187" ca="1" si="15">IF(I175="","",TODAY())</f>
        <v>46077</v>
      </c>
    </row>
    <row r="176" spans="1:12" outlineLevel="2" x14ac:dyDescent="0.2">
      <c r="A176" s="122" t="s">
        <v>1290</v>
      </c>
      <c r="B176" s="155" t="s">
        <v>1001</v>
      </c>
      <c r="C176" s="156"/>
      <c r="D176" s="157">
        <v>1</v>
      </c>
      <c r="E176" s="61"/>
      <c r="F176" s="158"/>
      <c r="G176" s="159"/>
      <c r="H176" s="112"/>
      <c r="I176" s="202" t="s">
        <v>1553</v>
      </c>
      <c r="J176" s="109" t="str">
        <f t="shared" si="14"/>
        <v>A</v>
      </c>
      <c r="K176" s="109" t="s">
        <v>1594</v>
      </c>
      <c r="L176" s="110">
        <f t="shared" ca="1" si="15"/>
        <v>46077</v>
      </c>
    </row>
    <row r="177" spans="1:12" outlineLevel="2" x14ac:dyDescent="0.2">
      <c r="A177" s="122" t="s">
        <v>1291</v>
      </c>
      <c r="B177" s="155" t="s">
        <v>1002</v>
      </c>
      <c r="C177" s="156"/>
      <c r="D177" s="157">
        <v>1</v>
      </c>
      <c r="E177" s="61"/>
      <c r="F177" s="158"/>
      <c r="G177" s="159"/>
      <c r="H177" s="112"/>
      <c r="I177" s="202" t="s">
        <v>1553</v>
      </c>
      <c r="J177" s="109" t="str">
        <f t="shared" si="14"/>
        <v>A</v>
      </c>
      <c r="K177" s="109" t="s">
        <v>1595</v>
      </c>
      <c r="L177" s="110">
        <f t="shared" ca="1" si="15"/>
        <v>46077</v>
      </c>
    </row>
    <row r="178" spans="1:12" outlineLevel="2" x14ac:dyDescent="0.2">
      <c r="A178" s="122" t="s">
        <v>1292</v>
      </c>
      <c r="B178" s="160" t="s">
        <v>1003</v>
      </c>
      <c r="C178" s="161"/>
      <c r="D178" s="162">
        <v>1</v>
      </c>
      <c r="E178" s="61"/>
      <c r="F178" s="158"/>
      <c r="G178" s="159"/>
      <c r="H178" s="112"/>
      <c r="I178" s="202" t="s">
        <v>1556</v>
      </c>
      <c r="J178" s="109" t="str">
        <f t="shared" si="14"/>
        <v>A</v>
      </c>
      <c r="K178" s="109" t="s">
        <v>1596</v>
      </c>
      <c r="L178" s="110">
        <f t="shared" ca="1" si="15"/>
        <v>46077</v>
      </c>
    </row>
    <row r="179" spans="1:12" outlineLevel="2" x14ac:dyDescent="0.2">
      <c r="A179" s="122" t="s">
        <v>1293</v>
      </c>
      <c r="B179" s="155" t="s">
        <v>1004</v>
      </c>
      <c r="C179" s="156"/>
      <c r="D179" s="157">
        <v>1</v>
      </c>
      <c r="E179" s="61"/>
      <c r="F179" s="158"/>
      <c r="G179" s="159"/>
      <c r="H179" s="112"/>
      <c r="I179" s="202" t="s">
        <v>1554</v>
      </c>
      <c r="J179" s="109" t="str">
        <f t="shared" si="14"/>
        <v>A</v>
      </c>
      <c r="K179" s="109" t="s">
        <v>1597</v>
      </c>
      <c r="L179" s="110">
        <f t="shared" ca="1" si="15"/>
        <v>46077</v>
      </c>
    </row>
    <row r="180" spans="1:12" outlineLevel="2" x14ac:dyDescent="0.2">
      <c r="A180" s="122" t="s">
        <v>1294</v>
      </c>
      <c r="B180" s="155" t="s">
        <v>1005</v>
      </c>
      <c r="C180" s="156"/>
      <c r="D180" s="157">
        <v>1</v>
      </c>
      <c r="E180" s="61"/>
      <c r="F180" s="158"/>
      <c r="G180" s="159"/>
      <c r="H180" s="112"/>
      <c r="I180" s="202" t="s">
        <v>1553</v>
      </c>
      <c r="J180" s="109" t="str">
        <f t="shared" si="14"/>
        <v>A</v>
      </c>
      <c r="K180" s="109" t="s">
        <v>1598</v>
      </c>
      <c r="L180" s="110">
        <f t="shared" ca="1" si="15"/>
        <v>46077</v>
      </c>
    </row>
    <row r="181" spans="1:12" outlineLevel="2" x14ac:dyDescent="0.2">
      <c r="A181" s="122" t="s">
        <v>1295</v>
      </c>
      <c r="B181" s="155" t="s">
        <v>1006</v>
      </c>
      <c r="C181" s="156"/>
      <c r="D181" s="157">
        <v>1</v>
      </c>
      <c r="E181" s="61"/>
      <c r="F181" s="158"/>
      <c r="G181" s="159"/>
      <c r="H181" s="112"/>
      <c r="I181" s="202" t="s">
        <v>1553</v>
      </c>
      <c r="J181" s="109" t="str">
        <f t="shared" si="14"/>
        <v>A</v>
      </c>
      <c r="K181" s="109" t="s">
        <v>1599</v>
      </c>
      <c r="L181" s="110">
        <f t="shared" ca="1" si="15"/>
        <v>46077</v>
      </c>
    </row>
    <row r="182" spans="1:12" outlineLevel="2" x14ac:dyDescent="0.2">
      <c r="A182" s="122" t="s">
        <v>1296</v>
      </c>
      <c r="B182" s="155" t="s">
        <v>1266</v>
      </c>
      <c r="C182" s="156"/>
      <c r="D182" s="157">
        <v>1</v>
      </c>
      <c r="E182" s="61"/>
      <c r="F182" s="158"/>
      <c r="G182" s="159"/>
      <c r="H182" s="112"/>
      <c r="I182" s="202" t="s">
        <v>1557</v>
      </c>
      <c r="J182" s="109" t="str">
        <f t="shared" si="14"/>
        <v>A</v>
      </c>
      <c r="K182" s="109" t="s">
        <v>1600</v>
      </c>
      <c r="L182" s="110">
        <f t="shared" ca="1" si="15"/>
        <v>46077</v>
      </c>
    </row>
    <row r="183" spans="1:12" outlineLevel="2" x14ac:dyDescent="0.2">
      <c r="A183" s="122" t="s">
        <v>1297</v>
      </c>
      <c r="B183" s="160" t="s">
        <v>1267</v>
      </c>
      <c r="C183" s="161"/>
      <c r="D183" s="162">
        <v>1</v>
      </c>
      <c r="E183" s="61"/>
      <c r="F183" s="158"/>
      <c r="G183" s="159"/>
      <c r="H183" s="112"/>
      <c r="I183" s="202" t="s">
        <v>1553</v>
      </c>
      <c r="J183" s="109" t="str">
        <f t="shared" si="14"/>
        <v>A</v>
      </c>
      <c r="K183" s="109" t="s">
        <v>1601</v>
      </c>
      <c r="L183" s="110">
        <f t="shared" ca="1" si="15"/>
        <v>46077</v>
      </c>
    </row>
    <row r="184" spans="1:12" outlineLevel="2" x14ac:dyDescent="0.2">
      <c r="A184" s="122" t="s">
        <v>1298</v>
      </c>
      <c r="B184" s="155" t="s">
        <v>1191</v>
      </c>
      <c r="C184" s="156"/>
      <c r="D184" s="157">
        <v>1</v>
      </c>
      <c r="E184" s="61"/>
      <c r="F184" s="158"/>
      <c r="G184" s="159"/>
      <c r="H184" s="112"/>
      <c r="I184" s="202" t="s">
        <v>1554</v>
      </c>
      <c r="J184" s="109" t="str">
        <f t="shared" si="14"/>
        <v>A</v>
      </c>
      <c r="K184" s="109" t="s">
        <v>1602</v>
      </c>
      <c r="L184" s="110">
        <f t="shared" ca="1" si="15"/>
        <v>46077</v>
      </c>
    </row>
    <row r="185" spans="1:12" outlineLevel="2" x14ac:dyDescent="0.2">
      <c r="A185" s="122" t="s">
        <v>1299</v>
      </c>
      <c r="B185" s="155" t="s">
        <v>1190</v>
      </c>
      <c r="C185" s="156"/>
      <c r="D185" s="157">
        <v>1</v>
      </c>
      <c r="E185" s="61"/>
      <c r="F185" s="158"/>
      <c r="G185" s="159"/>
      <c r="H185" s="112"/>
      <c r="I185" s="202" t="s">
        <v>1554</v>
      </c>
      <c r="J185" s="109" t="str">
        <f t="shared" si="14"/>
        <v>A</v>
      </c>
      <c r="K185" s="109" t="s">
        <v>1603</v>
      </c>
      <c r="L185" s="110">
        <f t="shared" ca="1" si="15"/>
        <v>46077</v>
      </c>
    </row>
    <row r="186" spans="1:12" outlineLevel="2" x14ac:dyDescent="0.2">
      <c r="A186" s="122" t="s">
        <v>1300</v>
      </c>
      <c r="B186" s="155" t="s">
        <v>1307</v>
      </c>
      <c r="C186" s="156"/>
      <c r="D186" s="157">
        <v>1</v>
      </c>
      <c r="E186" s="61"/>
      <c r="F186" s="158"/>
      <c r="G186" s="159"/>
      <c r="H186" s="112"/>
      <c r="I186" s="202" t="s">
        <v>1552</v>
      </c>
      <c r="J186" s="109" t="str">
        <f t="shared" si="14"/>
        <v>A</v>
      </c>
      <c r="K186" s="109" t="s">
        <v>1604</v>
      </c>
      <c r="L186" s="110">
        <f t="shared" ca="1" si="15"/>
        <v>46077</v>
      </c>
    </row>
    <row r="187" spans="1:12" outlineLevel="2" x14ac:dyDescent="0.2">
      <c r="A187" s="122" t="s">
        <v>1301</v>
      </c>
      <c r="B187" s="155" t="s">
        <v>1007</v>
      </c>
      <c r="C187" s="156"/>
      <c r="D187" s="157">
        <v>1</v>
      </c>
      <c r="E187" s="61"/>
      <c r="F187" s="158"/>
      <c r="G187" s="159"/>
      <c r="H187" s="112"/>
      <c r="I187" s="202" t="s">
        <v>1552</v>
      </c>
      <c r="J187" s="109" t="str">
        <f t="shared" si="14"/>
        <v>A</v>
      </c>
      <c r="K187" s="109" t="s">
        <v>1605</v>
      </c>
      <c r="L187" s="110">
        <f t="shared" ca="1" si="15"/>
        <v>46077</v>
      </c>
    </row>
    <row r="188" spans="1:12" outlineLevel="2" x14ac:dyDescent="0.2">
      <c r="A188" s="122" t="s">
        <v>1303</v>
      </c>
      <c r="B188" s="155" t="s">
        <v>594</v>
      </c>
      <c r="C188" s="156" t="s">
        <v>597</v>
      </c>
      <c r="D188" s="157">
        <v>2</v>
      </c>
      <c r="E188" s="61"/>
      <c r="F188" s="158"/>
      <c r="G188" s="159"/>
      <c r="H188" s="112"/>
      <c r="I188" s="202"/>
      <c r="J188" s="109" t="str">
        <f t="shared" ref="J188:J194" si="16">IF(I188="","", "A")</f>
        <v/>
      </c>
      <c r="K188" s="109" t="s">
        <v>1768</v>
      </c>
      <c r="L188" s="110" t="str">
        <f t="shared" ref="L188:L194" ca="1" si="17">IF(I188="","",TODAY())</f>
        <v/>
      </c>
    </row>
    <row r="189" spans="1:12" ht="13.5" outlineLevel="2" thickBot="1" x14ac:dyDescent="0.25">
      <c r="A189" s="122" t="s">
        <v>1304</v>
      </c>
      <c r="B189" s="165" t="s">
        <v>595</v>
      </c>
      <c r="C189" s="166" t="s">
        <v>598</v>
      </c>
      <c r="D189" s="167">
        <v>3</v>
      </c>
      <c r="E189" s="80"/>
      <c r="F189" s="168"/>
      <c r="G189" s="169"/>
      <c r="H189" s="113"/>
      <c r="I189" s="205"/>
      <c r="J189" s="129" t="str">
        <f t="shared" si="16"/>
        <v/>
      </c>
      <c r="K189" s="129" t="s">
        <v>1768</v>
      </c>
      <c r="L189" s="130" t="str">
        <f t="shared" ca="1" si="17"/>
        <v/>
      </c>
    </row>
    <row r="190" spans="1:12" outlineLevel="2" x14ac:dyDescent="0.2">
      <c r="A190" s="141"/>
      <c r="B190" s="144"/>
      <c r="C190" s="186"/>
      <c r="D190" s="150"/>
      <c r="E190" s="59"/>
      <c r="F190" s="180"/>
      <c r="G190" s="181"/>
      <c r="H190" s="114"/>
      <c r="I190" s="211"/>
      <c r="J190" s="203" t="str">
        <f t="shared" si="16"/>
        <v/>
      </c>
      <c r="K190" s="203" t="s">
        <v>1768</v>
      </c>
      <c r="L190" s="212" t="str">
        <f t="shared" ca="1" si="17"/>
        <v/>
      </c>
    </row>
    <row r="191" spans="1:12" ht="13.5" outlineLevel="2" thickBot="1" x14ac:dyDescent="0.25">
      <c r="A191" s="142"/>
      <c r="B191" s="83"/>
      <c r="C191" s="154"/>
      <c r="D191" s="151"/>
      <c r="E191" s="84"/>
      <c r="F191" s="182"/>
      <c r="G191" s="183"/>
      <c r="H191" s="115"/>
      <c r="I191" s="218"/>
      <c r="J191" s="219" t="str">
        <f t="shared" si="16"/>
        <v/>
      </c>
      <c r="K191" s="219" t="s">
        <v>1768</v>
      </c>
      <c r="L191" s="220" t="str">
        <f t="shared" ca="1" si="17"/>
        <v/>
      </c>
    </row>
    <row r="192" spans="1:12" outlineLevel="2" x14ac:dyDescent="0.2">
      <c r="A192" s="352">
        <v>6</v>
      </c>
      <c r="B192" s="354" t="s">
        <v>177</v>
      </c>
      <c r="C192" s="356" t="s">
        <v>178</v>
      </c>
      <c r="D192" s="358">
        <f>F193</f>
        <v>1</v>
      </c>
      <c r="E192" s="360">
        <v>3154347.48</v>
      </c>
      <c r="F192" s="172">
        <v>3154347.48</v>
      </c>
      <c r="G192" s="173"/>
      <c r="H192" s="379" t="s">
        <v>452</v>
      </c>
      <c r="I192" s="202"/>
      <c r="J192" s="109" t="str">
        <f t="shared" si="16"/>
        <v/>
      </c>
      <c r="K192" s="109" t="s">
        <v>1768</v>
      </c>
      <c r="L192" s="110" t="str">
        <f t="shared" ca="1" si="17"/>
        <v/>
      </c>
    </row>
    <row r="193" spans="1:12" outlineLevel="2" x14ac:dyDescent="0.2">
      <c r="A193" s="353"/>
      <c r="B193" s="355"/>
      <c r="C193" s="357"/>
      <c r="D193" s="359"/>
      <c r="E193" s="361">
        <v>1</v>
      </c>
      <c r="F193" s="174">
        <v>1</v>
      </c>
      <c r="G193" s="175"/>
      <c r="H193" s="366"/>
      <c r="I193" s="202"/>
      <c r="J193" s="109" t="str">
        <f t="shared" si="16"/>
        <v/>
      </c>
      <c r="K193" s="109" t="s">
        <v>1768</v>
      </c>
      <c r="L193" s="110" t="str">
        <f t="shared" ca="1" si="17"/>
        <v/>
      </c>
    </row>
    <row r="194" spans="1:12" outlineLevel="2" x14ac:dyDescent="0.2">
      <c r="A194" s="122" t="s">
        <v>1020</v>
      </c>
      <c r="B194" s="155" t="s">
        <v>599</v>
      </c>
      <c r="C194" s="156" t="s">
        <v>629</v>
      </c>
      <c r="D194" s="157">
        <v>0</v>
      </c>
      <c r="E194" s="69"/>
      <c r="F194" s="174"/>
      <c r="G194" s="175"/>
      <c r="H194" s="107"/>
      <c r="I194" s="202"/>
      <c r="J194" s="109" t="str">
        <f t="shared" si="16"/>
        <v/>
      </c>
      <c r="K194" s="109" t="s">
        <v>1768</v>
      </c>
      <c r="L194" s="110" t="str">
        <f t="shared" ca="1" si="17"/>
        <v/>
      </c>
    </row>
    <row r="195" spans="1:12" outlineLevel="2" x14ac:dyDescent="0.2">
      <c r="A195" s="122" t="s">
        <v>1033</v>
      </c>
      <c r="B195" s="155" t="s">
        <v>1306</v>
      </c>
      <c r="C195" s="156"/>
      <c r="D195" s="157">
        <v>1</v>
      </c>
      <c r="E195" s="69"/>
      <c r="F195" s="174"/>
      <c r="G195" s="175"/>
      <c r="H195" s="107"/>
      <c r="I195" s="202" t="s">
        <v>1554</v>
      </c>
      <c r="J195" s="109" t="str">
        <f t="shared" ref="J195:J264" si="18">IF(I195="","", "A")</f>
        <v>A</v>
      </c>
      <c r="K195" s="109" t="s">
        <v>1606</v>
      </c>
      <c r="L195" s="110">
        <f t="shared" ref="L195:L264" ca="1" si="19">IF(I195="","",TODAY())</f>
        <v>46077</v>
      </c>
    </row>
    <row r="196" spans="1:12" outlineLevel="2" x14ac:dyDescent="0.2">
      <c r="A196" s="122" t="s">
        <v>1034</v>
      </c>
      <c r="B196" s="155" t="s">
        <v>1305</v>
      </c>
      <c r="C196" s="156"/>
      <c r="D196" s="157">
        <v>1</v>
      </c>
      <c r="E196" s="69"/>
      <c r="F196" s="174"/>
      <c r="G196" s="175"/>
      <c r="H196" s="107"/>
      <c r="I196" s="202" t="s">
        <v>1554</v>
      </c>
      <c r="J196" s="109" t="str">
        <f t="shared" si="18"/>
        <v>A</v>
      </c>
      <c r="K196" s="109" t="s">
        <v>1607</v>
      </c>
      <c r="L196" s="110">
        <f t="shared" ca="1" si="19"/>
        <v>46077</v>
      </c>
    </row>
    <row r="197" spans="1:12" outlineLevel="2" x14ac:dyDescent="0.2">
      <c r="A197" s="122" t="s">
        <v>1035</v>
      </c>
      <c r="B197" s="155" t="s">
        <v>1308</v>
      </c>
      <c r="C197" s="156"/>
      <c r="D197" s="157">
        <v>1</v>
      </c>
      <c r="E197" s="69"/>
      <c r="F197" s="174"/>
      <c r="G197" s="175"/>
      <c r="H197" s="107"/>
      <c r="I197" s="202" t="s">
        <v>1553</v>
      </c>
      <c r="J197" s="109" t="str">
        <f t="shared" si="18"/>
        <v>A</v>
      </c>
      <c r="K197" s="109" t="s">
        <v>1608</v>
      </c>
      <c r="L197" s="110">
        <f t="shared" ca="1" si="19"/>
        <v>46077</v>
      </c>
    </row>
    <row r="198" spans="1:12" outlineLevel="2" x14ac:dyDescent="0.2">
      <c r="A198" s="122" t="s">
        <v>1036</v>
      </c>
      <c r="B198" s="155" t="s">
        <v>1309</v>
      </c>
      <c r="C198" s="156"/>
      <c r="D198" s="157">
        <v>1</v>
      </c>
      <c r="E198" s="69"/>
      <c r="F198" s="174"/>
      <c r="G198" s="175"/>
      <c r="H198" s="107"/>
      <c r="I198" s="202" t="s">
        <v>1553</v>
      </c>
      <c r="J198" s="109" t="str">
        <f t="shared" si="18"/>
        <v>A</v>
      </c>
      <c r="K198" s="109" t="s">
        <v>1609</v>
      </c>
      <c r="L198" s="110">
        <f t="shared" ca="1" si="19"/>
        <v>46077</v>
      </c>
    </row>
    <row r="199" spans="1:12" outlineLevel="2" x14ac:dyDescent="0.2">
      <c r="A199" s="122" t="s">
        <v>1037</v>
      </c>
      <c r="B199" s="155" t="s">
        <v>1310</v>
      </c>
      <c r="C199" s="156"/>
      <c r="D199" s="157">
        <v>1</v>
      </c>
      <c r="E199" s="69"/>
      <c r="F199" s="174"/>
      <c r="G199" s="175"/>
      <c r="H199" s="107"/>
      <c r="I199" s="202" t="s">
        <v>1554</v>
      </c>
      <c r="J199" s="109" t="str">
        <f t="shared" si="18"/>
        <v>A</v>
      </c>
      <c r="K199" s="109" t="s">
        <v>1610</v>
      </c>
      <c r="L199" s="110">
        <f t="shared" ca="1" si="19"/>
        <v>46077</v>
      </c>
    </row>
    <row r="200" spans="1:12" outlineLevel="2" x14ac:dyDescent="0.2">
      <c r="A200" s="122" t="s">
        <v>1038</v>
      </c>
      <c r="B200" s="155" t="s">
        <v>1318</v>
      </c>
      <c r="C200" s="156"/>
      <c r="D200" s="157">
        <v>2</v>
      </c>
      <c r="E200" s="69"/>
      <c r="F200" s="174"/>
      <c r="G200" s="175"/>
      <c r="H200" s="107"/>
      <c r="I200" s="202" t="s">
        <v>1556</v>
      </c>
      <c r="J200" s="109" t="str">
        <f t="shared" si="18"/>
        <v>A</v>
      </c>
      <c r="K200" s="109" t="s">
        <v>1611</v>
      </c>
      <c r="L200" s="110">
        <f t="shared" ca="1" si="19"/>
        <v>46077</v>
      </c>
    </row>
    <row r="201" spans="1:12" outlineLevel="2" x14ac:dyDescent="0.2">
      <c r="A201" s="122" t="s">
        <v>1039</v>
      </c>
      <c r="B201" s="155" t="s">
        <v>1311</v>
      </c>
      <c r="C201" s="156"/>
      <c r="D201" s="157">
        <v>1</v>
      </c>
      <c r="E201" s="69"/>
      <c r="F201" s="174"/>
      <c r="G201" s="175"/>
      <c r="H201" s="107"/>
      <c r="I201" s="202" t="s">
        <v>1553</v>
      </c>
      <c r="J201" s="109" t="str">
        <f t="shared" si="18"/>
        <v>A</v>
      </c>
      <c r="K201" s="109" t="s">
        <v>1612</v>
      </c>
      <c r="L201" s="110">
        <f t="shared" ca="1" si="19"/>
        <v>46077</v>
      </c>
    </row>
    <row r="202" spans="1:12" outlineLevel="2" x14ac:dyDescent="0.2">
      <c r="A202" s="122" t="s">
        <v>1040</v>
      </c>
      <c r="B202" s="155" t="s">
        <v>1312</v>
      </c>
      <c r="C202" s="156"/>
      <c r="D202" s="157">
        <v>1</v>
      </c>
      <c r="E202" s="69"/>
      <c r="F202" s="174"/>
      <c r="G202" s="175"/>
      <c r="H202" s="107"/>
      <c r="I202" s="202" t="s">
        <v>1553</v>
      </c>
      <c r="J202" s="109" t="str">
        <f t="shared" si="18"/>
        <v>A</v>
      </c>
      <c r="K202" s="109" t="s">
        <v>1613</v>
      </c>
      <c r="L202" s="110">
        <f t="shared" ca="1" si="19"/>
        <v>46077</v>
      </c>
    </row>
    <row r="203" spans="1:12" outlineLevel="2" x14ac:dyDescent="0.2">
      <c r="A203" s="122" t="s">
        <v>1041</v>
      </c>
      <c r="B203" s="155" t="s">
        <v>1317</v>
      </c>
      <c r="C203" s="156"/>
      <c r="D203" s="157">
        <v>1</v>
      </c>
      <c r="E203" s="69"/>
      <c r="F203" s="174"/>
      <c r="G203" s="175"/>
      <c r="H203" s="107"/>
      <c r="I203" s="202" t="s">
        <v>1553</v>
      </c>
      <c r="J203" s="109" t="str">
        <f t="shared" si="18"/>
        <v>A</v>
      </c>
      <c r="K203" s="109" t="s">
        <v>1614</v>
      </c>
      <c r="L203" s="110">
        <f t="shared" ca="1" si="19"/>
        <v>46077</v>
      </c>
    </row>
    <row r="204" spans="1:12" outlineLevel="2" x14ac:dyDescent="0.2">
      <c r="A204" s="122" t="s">
        <v>1042</v>
      </c>
      <c r="B204" s="155" t="s">
        <v>1313</v>
      </c>
      <c r="C204" s="156"/>
      <c r="D204" s="157">
        <v>1</v>
      </c>
      <c r="E204" s="69"/>
      <c r="F204" s="174"/>
      <c r="G204" s="175"/>
      <c r="H204" s="107"/>
      <c r="I204" s="202" t="s">
        <v>1552</v>
      </c>
      <c r="J204" s="109" t="str">
        <f t="shared" si="18"/>
        <v>A</v>
      </c>
      <c r="K204" s="109" t="s">
        <v>1615</v>
      </c>
      <c r="L204" s="110">
        <f t="shared" ca="1" si="19"/>
        <v>46077</v>
      </c>
    </row>
    <row r="205" spans="1:12" outlineLevel="2" x14ac:dyDescent="0.2">
      <c r="A205" s="122" t="s">
        <v>1043</v>
      </c>
      <c r="B205" s="155" t="s">
        <v>1314</v>
      </c>
      <c r="C205" s="156"/>
      <c r="D205" s="157">
        <v>1</v>
      </c>
      <c r="E205" s="69"/>
      <c r="F205" s="174"/>
      <c r="G205" s="175"/>
      <c r="H205" s="107"/>
      <c r="I205" s="202" t="s">
        <v>1552</v>
      </c>
      <c r="J205" s="109" t="str">
        <f t="shared" si="18"/>
        <v>A</v>
      </c>
      <c r="K205" s="109" t="s">
        <v>1616</v>
      </c>
      <c r="L205" s="110">
        <f t="shared" ca="1" si="19"/>
        <v>46077</v>
      </c>
    </row>
    <row r="206" spans="1:12" outlineLevel="2" x14ac:dyDescent="0.2">
      <c r="A206" s="122" t="s">
        <v>1044</v>
      </c>
      <c r="B206" s="155" t="s">
        <v>1315</v>
      </c>
      <c r="C206" s="156"/>
      <c r="D206" s="157">
        <v>1</v>
      </c>
      <c r="E206" s="69"/>
      <c r="F206" s="174"/>
      <c r="G206" s="175"/>
      <c r="H206" s="107"/>
      <c r="I206" s="202" t="s">
        <v>1554</v>
      </c>
      <c r="J206" s="109" t="str">
        <f t="shared" si="18"/>
        <v>A</v>
      </c>
      <c r="K206" s="109" t="s">
        <v>1617</v>
      </c>
      <c r="L206" s="110">
        <f t="shared" ca="1" si="19"/>
        <v>46077</v>
      </c>
    </row>
    <row r="207" spans="1:12" outlineLevel="2" x14ac:dyDescent="0.2">
      <c r="A207" s="122" t="s">
        <v>1045</v>
      </c>
      <c r="B207" s="155" t="s">
        <v>1316</v>
      </c>
      <c r="C207" s="156"/>
      <c r="D207" s="157">
        <v>1</v>
      </c>
      <c r="E207" s="69"/>
      <c r="F207" s="174"/>
      <c r="G207" s="175"/>
      <c r="H207" s="107"/>
      <c r="I207" s="202" t="s">
        <v>1554</v>
      </c>
      <c r="J207" s="109" t="str">
        <f t="shared" si="18"/>
        <v>A</v>
      </c>
      <c r="K207" s="109" t="s">
        <v>1618</v>
      </c>
      <c r="L207" s="110">
        <f t="shared" ca="1" si="19"/>
        <v>46077</v>
      </c>
    </row>
    <row r="208" spans="1:12" outlineLevel="2" x14ac:dyDescent="0.2">
      <c r="A208" s="122" t="s">
        <v>1021</v>
      </c>
      <c r="B208" s="155" t="s">
        <v>561</v>
      </c>
      <c r="C208" s="156" t="s">
        <v>540</v>
      </c>
      <c r="D208" s="157">
        <v>1</v>
      </c>
      <c r="E208" s="69"/>
      <c r="F208" s="174"/>
      <c r="G208" s="175"/>
      <c r="H208" s="107"/>
      <c r="I208" s="202"/>
      <c r="J208" s="109" t="str">
        <f t="shared" si="18"/>
        <v/>
      </c>
      <c r="K208" s="109" t="s">
        <v>1768</v>
      </c>
      <c r="L208" s="110" t="str">
        <f t="shared" ca="1" si="19"/>
        <v/>
      </c>
    </row>
    <row r="209" spans="1:12" outlineLevel="2" x14ac:dyDescent="0.2">
      <c r="A209" s="122" t="s">
        <v>1022</v>
      </c>
      <c r="B209" s="155" t="s">
        <v>600</v>
      </c>
      <c r="C209" s="156" t="s">
        <v>630</v>
      </c>
      <c r="D209" s="157">
        <v>1</v>
      </c>
      <c r="E209" s="69"/>
      <c r="F209" s="174"/>
      <c r="G209" s="175"/>
      <c r="H209" s="107"/>
      <c r="I209" s="202"/>
      <c r="J209" s="109" t="str">
        <f t="shared" si="18"/>
        <v/>
      </c>
      <c r="K209" s="109" t="s">
        <v>1768</v>
      </c>
      <c r="L209" s="110" t="str">
        <f t="shared" ca="1" si="19"/>
        <v/>
      </c>
    </row>
    <row r="210" spans="1:12" outlineLevel="2" x14ac:dyDescent="0.2">
      <c r="A210" s="122" t="s">
        <v>1023</v>
      </c>
      <c r="B210" s="155" t="s">
        <v>601</v>
      </c>
      <c r="C210" s="156" t="s">
        <v>631</v>
      </c>
      <c r="D210" s="157">
        <v>1</v>
      </c>
      <c r="E210" s="69"/>
      <c r="F210" s="174"/>
      <c r="G210" s="175"/>
      <c r="H210" s="107"/>
      <c r="I210" s="202"/>
      <c r="J210" s="109" t="str">
        <f t="shared" si="18"/>
        <v/>
      </c>
      <c r="K210" s="109" t="s">
        <v>1768</v>
      </c>
      <c r="L210" s="110" t="str">
        <f t="shared" ca="1" si="19"/>
        <v/>
      </c>
    </row>
    <row r="211" spans="1:12" outlineLevel="2" x14ac:dyDescent="0.2">
      <c r="A211" s="122" t="s">
        <v>1024</v>
      </c>
      <c r="B211" s="155" t="s">
        <v>602</v>
      </c>
      <c r="C211" s="156" t="s">
        <v>632</v>
      </c>
      <c r="D211" s="157">
        <v>15</v>
      </c>
      <c r="E211" s="69"/>
      <c r="F211" s="174"/>
      <c r="G211" s="175"/>
      <c r="H211" s="107"/>
      <c r="I211" s="202"/>
      <c r="J211" s="109" t="str">
        <f t="shared" si="18"/>
        <v/>
      </c>
      <c r="K211" s="109" t="s">
        <v>1768</v>
      </c>
      <c r="L211" s="110" t="str">
        <f t="shared" ca="1" si="19"/>
        <v/>
      </c>
    </row>
    <row r="212" spans="1:12" outlineLevel="2" x14ac:dyDescent="0.2">
      <c r="A212" s="122" t="s">
        <v>1025</v>
      </c>
      <c r="B212" s="155" t="s">
        <v>603</v>
      </c>
      <c r="C212" s="156" t="s">
        <v>633</v>
      </c>
      <c r="D212" s="157">
        <v>9</v>
      </c>
      <c r="E212" s="69"/>
      <c r="F212" s="174"/>
      <c r="G212" s="175"/>
      <c r="H212" s="107"/>
      <c r="I212" s="202"/>
      <c r="J212" s="109" t="str">
        <f t="shared" si="18"/>
        <v/>
      </c>
      <c r="K212" s="109" t="s">
        <v>1768</v>
      </c>
      <c r="L212" s="110" t="str">
        <f t="shared" ca="1" si="19"/>
        <v/>
      </c>
    </row>
    <row r="213" spans="1:12" outlineLevel="2" x14ac:dyDescent="0.2">
      <c r="A213" s="122" t="s">
        <v>1026</v>
      </c>
      <c r="B213" s="155" t="s">
        <v>604</v>
      </c>
      <c r="C213" s="156" t="s">
        <v>634</v>
      </c>
      <c r="D213" s="157">
        <v>12</v>
      </c>
      <c r="E213" s="69"/>
      <c r="F213" s="174"/>
      <c r="G213" s="175"/>
      <c r="H213" s="107"/>
      <c r="I213" s="202"/>
      <c r="J213" s="109" t="str">
        <f t="shared" si="18"/>
        <v/>
      </c>
      <c r="K213" s="109" t="s">
        <v>1768</v>
      </c>
      <c r="L213" s="110" t="str">
        <f t="shared" ca="1" si="19"/>
        <v/>
      </c>
    </row>
    <row r="214" spans="1:12" outlineLevel="2" x14ac:dyDescent="0.2">
      <c r="A214" s="122" t="s">
        <v>1027</v>
      </c>
      <c r="B214" s="155" t="s">
        <v>605</v>
      </c>
      <c r="C214" s="156" t="s">
        <v>635</v>
      </c>
      <c r="D214" s="157">
        <v>12</v>
      </c>
      <c r="E214" s="69"/>
      <c r="F214" s="174"/>
      <c r="G214" s="175"/>
      <c r="H214" s="107"/>
      <c r="I214" s="202"/>
      <c r="J214" s="109" t="str">
        <f t="shared" si="18"/>
        <v/>
      </c>
      <c r="K214" s="109" t="s">
        <v>1768</v>
      </c>
      <c r="L214" s="110" t="str">
        <f t="shared" ca="1" si="19"/>
        <v/>
      </c>
    </row>
    <row r="215" spans="1:12" outlineLevel="2" x14ac:dyDescent="0.2">
      <c r="A215" s="122" t="s">
        <v>1028</v>
      </c>
      <c r="B215" s="155" t="s">
        <v>606</v>
      </c>
      <c r="C215" s="156" t="s">
        <v>636</v>
      </c>
      <c r="D215" s="157">
        <v>7</v>
      </c>
      <c r="E215" s="69"/>
      <c r="F215" s="174"/>
      <c r="G215" s="175"/>
      <c r="H215" s="107"/>
      <c r="I215" s="202"/>
      <c r="J215" s="109" t="str">
        <f t="shared" si="18"/>
        <v/>
      </c>
      <c r="K215" s="109" t="s">
        <v>1768</v>
      </c>
      <c r="L215" s="110" t="str">
        <f t="shared" ca="1" si="19"/>
        <v/>
      </c>
    </row>
    <row r="216" spans="1:12" outlineLevel="2" x14ac:dyDescent="0.2">
      <c r="A216" s="122" t="s">
        <v>1029</v>
      </c>
      <c r="B216" s="155" t="s">
        <v>607</v>
      </c>
      <c r="C216" s="156" t="s">
        <v>637</v>
      </c>
      <c r="D216" s="157">
        <v>6</v>
      </c>
      <c r="E216" s="69"/>
      <c r="F216" s="174"/>
      <c r="G216" s="175"/>
      <c r="H216" s="107"/>
      <c r="I216" s="202"/>
      <c r="J216" s="109" t="str">
        <f t="shared" si="18"/>
        <v/>
      </c>
      <c r="K216" s="109" t="s">
        <v>1768</v>
      </c>
      <c r="L216" s="110" t="str">
        <f t="shared" ca="1" si="19"/>
        <v/>
      </c>
    </row>
    <row r="217" spans="1:12" outlineLevel="2" x14ac:dyDescent="0.2">
      <c r="A217" s="122" t="s">
        <v>1030</v>
      </c>
      <c r="B217" s="155" t="s">
        <v>608</v>
      </c>
      <c r="C217" s="156" t="s">
        <v>638</v>
      </c>
      <c r="D217" s="157">
        <v>5</v>
      </c>
      <c r="E217" s="69"/>
      <c r="F217" s="174"/>
      <c r="G217" s="175"/>
      <c r="H217" s="107"/>
      <c r="I217" s="202"/>
      <c r="J217" s="109" t="str">
        <f t="shared" si="18"/>
        <v/>
      </c>
      <c r="K217" s="109" t="s">
        <v>1768</v>
      </c>
      <c r="L217" s="110" t="str">
        <f t="shared" ca="1" si="19"/>
        <v/>
      </c>
    </row>
    <row r="218" spans="1:12" outlineLevel="2" x14ac:dyDescent="0.2">
      <c r="A218" s="122" t="s">
        <v>1031</v>
      </c>
      <c r="B218" s="155" t="s">
        <v>609</v>
      </c>
      <c r="C218" s="156" t="s">
        <v>639</v>
      </c>
      <c r="D218" s="157">
        <v>5</v>
      </c>
      <c r="E218" s="69"/>
      <c r="F218" s="174"/>
      <c r="G218" s="175"/>
      <c r="H218" s="107"/>
      <c r="I218" s="202"/>
      <c r="J218" s="109" t="str">
        <f t="shared" si="18"/>
        <v/>
      </c>
      <c r="K218" s="109" t="s">
        <v>1768</v>
      </c>
      <c r="L218" s="110" t="str">
        <f t="shared" ca="1" si="19"/>
        <v/>
      </c>
    </row>
    <row r="219" spans="1:12" outlineLevel="2" x14ac:dyDescent="0.2">
      <c r="A219" s="122" t="s">
        <v>1032</v>
      </c>
      <c r="B219" s="155" t="s">
        <v>610</v>
      </c>
      <c r="C219" s="156" t="s">
        <v>640</v>
      </c>
      <c r="D219" s="157">
        <v>9</v>
      </c>
      <c r="E219" s="69"/>
      <c r="F219" s="174"/>
      <c r="G219" s="175"/>
      <c r="H219" s="107"/>
      <c r="I219" s="202"/>
      <c r="J219" s="109" t="str">
        <f t="shared" si="18"/>
        <v/>
      </c>
      <c r="K219" s="109" t="s">
        <v>1768</v>
      </c>
      <c r="L219" s="110" t="str">
        <f t="shared" ca="1" si="19"/>
        <v/>
      </c>
    </row>
    <row r="220" spans="1:12" outlineLevel="2" x14ac:dyDescent="0.2">
      <c r="A220" s="122" t="s">
        <v>1046</v>
      </c>
      <c r="B220" s="155" t="s">
        <v>611</v>
      </c>
      <c r="C220" s="156" t="s">
        <v>641</v>
      </c>
      <c r="D220" s="157">
        <v>3</v>
      </c>
      <c r="E220" s="69"/>
      <c r="F220" s="174"/>
      <c r="G220" s="175"/>
      <c r="H220" s="107"/>
      <c r="I220" s="202"/>
      <c r="J220" s="109" t="str">
        <f t="shared" si="18"/>
        <v/>
      </c>
      <c r="K220" s="109" t="s">
        <v>1768</v>
      </c>
      <c r="L220" s="110" t="str">
        <f t="shared" ca="1" si="19"/>
        <v/>
      </c>
    </row>
    <row r="221" spans="1:12" outlineLevel="2" x14ac:dyDescent="0.2">
      <c r="A221" s="122" t="s">
        <v>1047</v>
      </c>
      <c r="B221" s="155" t="s">
        <v>612</v>
      </c>
      <c r="C221" s="156" t="s">
        <v>642</v>
      </c>
      <c r="D221" s="157">
        <v>5</v>
      </c>
      <c r="E221" s="69"/>
      <c r="F221" s="174"/>
      <c r="G221" s="175"/>
      <c r="H221" s="107"/>
      <c r="I221" s="202"/>
      <c r="J221" s="109" t="str">
        <f t="shared" si="18"/>
        <v/>
      </c>
      <c r="K221" s="109" t="s">
        <v>1768</v>
      </c>
      <c r="L221" s="110" t="str">
        <f t="shared" ca="1" si="19"/>
        <v/>
      </c>
    </row>
    <row r="222" spans="1:12" outlineLevel="2" x14ac:dyDescent="0.2">
      <c r="A222" s="122" t="s">
        <v>1048</v>
      </c>
      <c r="B222" s="155" t="s">
        <v>613</v>
      </c>
      <c r="C222" s="156" t="s">
        <v>643</v>
      </c>
      <c r="D222" s="157">
        <v>3</v>
      </c>
      <c r="E222" s="69"/>
      <c r="F222" s="174"/>
      <c r="G222" s="175"/>
      <c r="H222" s="107"/>
      <c r="I222" s="202"/>
      <c r="J222" s="109" t="str">
        <f t="shared" si="18"/>
        <v/>
      </c>
      <c r="K222" s="109" t="s">
        <v>1768</v>
      </c>
      <c r="L222" s="110" t="str">
        <f t="shared" ca="1" si="19"/>
        <v/>
      </c>
    </row>
    <row r="223" spans="1:12" outlineLevel="2" x14ac:dyDescent="0.2">
      <c r="A223" s="122" t="s">
        <v>1049</v>
      </c>
      <c r="B223" s="155" t="s">
        <v>614</v>
      </c>
      <c r="C223" s="156" t="s">
        <v>644</v>
      </c>
      <c r="D223" s="157">
        <v>1</v>
      </c>
      <c r="E223" s="69"/>
      <c r="F223" s="174"/>
      <c r="G223" s="175"/>
      <c r="H223" s="107"/>
      <c r="I223" s="202"/>
      <c r="J223" s="109" t="str">
        <f t="shared" si="18"/>
        <v/>
      </c>
      <c r="K223" s="109" t="s">
        <v>1768</v>
      </c>
      <c r="L223" s="110" t="str">
        <f t="shared" ca="1" si="19"/>
        <v/>
      </c>
    </row>
    <row r="224" spans="1:12" outlineLevel="2" x14ac:dyDescent="0.2">
      <c r="A224" s="122" t="s">
        <v>1050</v>
      </c>
      <c r="B224" s="155" t="s">
        <v>615</v>
      </c>
      <c r="C224" s="156" t="s">
        <v>645</v>
      </c>
      <c r="D224" s="157">
        <v>1</v>
      </c>
      <c r="E224" s="69"/>
      <c r="F224" s="174"/>
      <c r="G224" s="175"/>
      <c r="H224" s="107"/>
      <c r="I224" s="202"/>
      <c r="J224" s="109" t="str">
        <f t="shared" si="18"/>
        <v/>
      </c>
      <c r="K224" s="109" t="s">
        <v>1768</v>
      </c>
      <c r="L224" s="110" t="str">
        <f t="shared" ca="1" si="19"/>
        <v/>
      </c>
    </row>
    <row r="225" spans="1:12" outlineLevel="2" x14ac:dyDescent="0.2">
      <c r="A225" s="122" t="s">
        <v>1051</v>
      </c>
      <c r="B225" s="155" t="s">
        <v>521</v>
      </c>
      <c r="C225" s="156" t="s">
        <v>520</v>
      </c>
      <c r="D225" s="157">
        <v>1</v>
      </c>
      <c r="E225" s="69"/>
      <c r="F225" s="174"/>
      <c r="G225" s="175"/>
      <c r="H225" s="107"/>
      <c r="I225" s="202"/>
      <c r="J225" s="109" t="str">
        <f t="shared" si="18"/>
        <v/>
      </c>
      <c r="K225" s="109" t="s">
        <v>1768</v>
      </c>
      <c r="L225" s="110" t="str">
        <f t="shared" ca="1" si="19"/>
        <v/>
      </c>
    </row>
    <row r="226" spans="1:12" outlineLevel="2" x14ac:dyDescent="0.2">
      <c r="A226" s="122" t="s">
        <v>1052</v>
      </c>
      <c r="B226" s="155" t="s">
        <v>616</v>
      </c>
      <c r="C226" s="156" t="s">
        <v>646</v>
      </c>
      <c r="D226" s="157">
        <v>1</v>
      </c>
      <c r="E226" s="69"/>
      <c r="F226" s="174"/>
      <c r="G226" s="175"/>
      <c r="H226" s="107"/>
      <c r="I226" s="202"/>
      <c r="J226" s="109" t="str">
        <f t="shared" si="18"/>
        <v/>
      </c>
      <c r="K226" s="109" t="s">
        <v>1768</v>
      </c>
      <c r="L226" s="110" t="str">
        <f t="shared" ca="1" si="19"/>
        <v/>
      </c>
    </row>
    <row r="227" spans="1:12" outlineLevel="2" x14ac:dyDescent="0.2">
      <c r="A227" s="122" t="s">
        <v>1053</v>
      </c>
      <c r="B227" s="155" t="s">
        <v>617</v>
      </c>
      <c r="C227" s="156" t="s">
        <v>647</v>
      </c>
      <c r="D227" s="157">
        <v>2</v>
      </c>
      <c r="E227" s="69"/>
      <c r="F227" s="174"/>
      <c r="G227" s="175"/>
      <c r="H227" s="107"/>
      <c r="I227" s="202"/>
      <c r="J227" s="109" t="str">
        <f t="shared" si="18"/>
        <v/>
      </c>
      <c r="K227" s="109" t="s">
        <v>1768</v>
      </c>
      <c r="L227" s="110" t="str">
        <f t="shared" ca="1" si="19"/>
        <v/>
      </c>
    </row>
    <row r="228" spans="1:12" outlineLevel="2" x14ac:dyDescent="0.2">
      <c r="A228" s="122" t="s">
        <v>1054</v>
      </c>
      <c r="B228" s="155" t="s">
        <v>571</v>
      </c>
      <c r="C228" s="156" t="s">
        <v>550</v>
      </c>
      <c r="D228" s="157">
        <v>1</v>
      </c>
      <c r="E228" s="69"/>
      <c r="F228" s="174"/>
      <c r="G228" s="175"/>
      <c r="H228" s="107"/>
      <c r="I228" s="202"/>
      <c r="J228" s="109" t="str">
        <f t="shared" si="18"/>
        <v/>
      </c>
      <c r="K228" s="109" t="s">
        <v>1768</v>
      </c>
      <c r="L228" s="110" t="str">
        <f t="shared" ca="1" si="19"/>
        <v/>
      </c>
    </row>
    <row r="229" spans="1:12" outlineLevel="2" x14ac:dyDescent="0.2">
      <c r="A229" s="122" t="s">
        <v>1055</v>
      </c>
      <c r="B229" s="155" t="s">
        <v>618</v>
      </c>
      <c r="C229" s="156" t="s">
        <v>648</v>
      </c>
      <c r="D229" s="157">
        <v>9</v>
      </c>
      <c r="E229" s="69"/>
      <c r="F229" s="174"/>
      <c r="G229" s="175"/>
      <c r="H229" s="107"/>
      <c r="I229" s="202"/>
      <c r="J229" s="109" t="str">
        <f t="shared" si="18"/>
        <v/>
      </c>
      <c r="K229" s="109" t="s">
        <v>1768</v>
      </c>
      <c r="L229" s="110" t="str">
        <f t="shared" ca="1" si="19"/>
        <v/>
      </c>
    </row>
    <row r="230" spans="1:12" outlineLevel="2" x14ac:dyDescent="0.2">
      <c r="A230" s="122" t="s">
        <v>1056</v>
      </c>
      <c r="B230" s="155" t="s">
        <v>619</v>
      </c>
      <c r="C230" s="156" t="s">
        <v>649</v>
      </c>
      <c r="D230" s="157">
        <v>1</v>
      </c>
      <c r="E230" s="69"/>
      <c r="F230" s="174"/>
      <c r="G230" s="175"/>
      <c r="H230" s="107"/>
      <c r="I230" s="202"/>
      <c r="J230" s="109" t="str">
        <f t="shared" si="18"/>
        <v/>
      </c>
      <c r="K230" s="109" t="s">
        <v>1768</v>
      </c>
      <c r="L230" s="110" t="str">
        <f t="shared" ca="1" si="19"/>
        <v/>
      </c>
    </row>
    <row r="231" spans="1:12" outlineLevel="2" x14ac:dyDescent="0.2">
      <c r="A231" s="122" t="s">
        <v>1057</v>
      </c>
      <c r="B231" s="155" t="s">
        <v>620</v>
      </c>
      <c r="C231" s="156" t="s">
        <v>650</v>
      </c>
      <c r="D231" s="157">
        <v>1</v>
      </c>
      <c r="E231" s="69"/>
      <c r="F231" s="174"/>
      <c r="G231" s="175"/>
      <c r="H231" s="107"/>
      <c r="I231" s="202"/>
      <c r="J231" s="109" t="str">
        <f t="shared" si="18"/>
        <v/>
      </c>
      <c r="K231" s="109" t="s">
        <v>1768</v>
      </c>
      <c r="L231" s="110" t="str">
        <f t="shared" ca="1" si="19"/>
        <v/>
      </c>
    </row>
    <row r="232" spans="1:12" outlineLevel="2" x14ac:dyDescent="0.2">
      <c r="A232" s="122" t="s">
        <v>1058</v>
      </c>
      <c r="B232" s="155" t="s">
        <v>621</v>
      </c>
      <c r="C232" s="156" t="s">
        <v>651</v>
      </c>
      <c r="D232" s="157">
        <v>1</v>
      </c>
      <c r="E232" s="69"/>
      <c r="F232" s="174"/>
      <c r="G232" s="175"/>
      <c r="H232" s="107"/>
      <c r="I232" s="202"/>
      <c r="J232" s="109" t="str">
        <f t="shared" si="18"/>
        <v/>
      </c>
      <c r="K232" s="109" t="s">
        <v>1768</v>
      </c>
      <c r="L232" s="110" t="str">
        <f t="shared" ca="1" si="19"/>
        <v/>
      </c>
    </row>
    <row r="233" spans="1:12" outlineLevel="2" x14ac:dyDescent="0.2">
      <c r="A233" s="122" t="s">
        <v>1059</v>
      </c>
      <c r="B233" s="155" t="s">
        <v>622</v>
      </c>
      <c r="C233" s="156" t="s">
        <v>652</v>
      </c>
      <c r="D233" s="157">
        <v>2</v>
      </c>
      <c r="E233" s="69"/>
      <c r="F233" s="174"/>
      <c r="G233" s="175"/>
      <c r="H233" s="107"/>
      <c r="I233" s="202"/>
      <c r="J233" s="109" t="str">
        <f t="shared" si="18"/>
        <v/>
      </c>
      <c r="K233" s="109" t="s">
        <v>1768</v>
      </c>
      <c r="L233" s="110" t="str">
        <f t="shared" ca="1" si="19"/>
        <v/>
      </c>
    </row>
    <row r="234" spans="1:12" outlineLevel="2" x14ac:dyDescent="0.2">
      <c r="A234" s="122" t="s">
        <v>1060</v>
      </c>
      <c r="B234" s="155" t="s">
        <v>623</v>
      </c>
      <c r="C234" s="156" t="s">
        <v>653</v>
      </c>
      <c r="D234" s="157">
        <v>3</v>
      </c>
      <c r="E234" s="69"/>
      <c r="F234" s="174"/>
      <c r="G234" s="175"/>
      <c r="H234" s="107"/>
      <c r="I234" s="202"/>
      <c r="J234" s="109" t="str">
        <f t="shared" si="18"/>
        <v/>
      </c>
      <c r="K234" s="109" t="s">
        <v>1768</v>
      </c>
      <c r="L234" s="110" t="str">
        <f t="shared" ca="1" si="19"/>
        <v/>
      </c>
    </row>
    <row r="235" spans="1:12" outlineLevel="2" x14ac:dyDescent="0.2">
      <c r="A235" s="122" t="s">
        <v>1061</v>
      </c>
      <c r="B235" s="155" t="s">
        <v>573</v>
      </c>
      <c r="C235" s="156" t="s">
        <v>552</v>
      </c>
      <c r="D235" s="157">
        <v>2</v>
      </c>
      <c r="E235" s="69"/>
      <c r="F235" s="174"/>
      <c r="G235" s="175"/>
      <c r="H235" s="107"/>
      <c r="I235" s="202"/>
      <c r="J235" s="109" t="str">
        <f t="shared" si="18"/>
        <v/>
      </c>
      <c r="K235" s="109" t="s">
        <v>1768</v>
      </c>
      <c r="L235" s="110" t="str">
        <f t="shared" ca="1" si="19"/>
        <v/>
      </c>
    </row>
    <row r="236" spans="1:12" outlineLevel="2" x14ac:dyDescent="0.2">
      <c r="A236" s="122" t="s">
        <v>1062</v>
      </c>
      <c r="B236" s="155" t="s">
        <v>624</v>
      </c>
      <c r="C236" s="156" t="s">
        <v>654</v>
      </c>
      <c r="D236" s="157">
        <v>29</v>
      </c>
      <c r="E236" s="69"/>
      <c r="F236" s="174"/>
      <c r="G236" s="175"/>
      <c r="H236" s="107"/>
      <c r="I236" s="202"/>
      <c r="J236" s="109" t="str">
        <f t="shared" si="18"/>
        <v/>
      </c>
      <c r="K236" s="109" t="s">
        <v>1768</v>
      </c>
      <c r="L236" s="110" t="str">
        <f t="shared" ca="1" si="19"/>
        <v/>
      </c>
    </row>
    <row r="237" spans="1:12" outlineLevel="2" x14ac:dyDescent="0.2">
      <c r="A237" s="122" t="s">
        <v>1063</v>
      </c>
      <c r="B237" s="155" t="s">
        <v>625</v>
      </c>
      <c r="C237" s="156" t="s">
        <v>655</v>
      </c>
      <c r="D237" s="157">
        <v>3</v>
      </c>
      <c r="E237" s="69"/>
      <c r="F237" s="174"/>
      <c r="G237" s="175"/>
      <c r="H237" s="107"/>
      <c r="I237" s="202"/>
      <c r="J237" s="109" t="str">
        <f t="shared" si="18"/>
        <v/>
      </c>
      <c r="K237" s="109" t="s">
        <v>1768</v>
      </c>
      <c r="L237" s="110" t="str">
        <f t="shared" ca="1" si="19"/>
        <v/>
      </c>
    </row>
    <row r="238" spans="1:12" outlineLevel="2" x14ac:dyDescent="0.2">
      <c r="A238" s="122" t="s">
        <v>1064</v>
      </c>
      <c r="B238" s="155" t="s">
        <v>577</v>
      </c>
      <c r="C238" s="156" t="s">
        <v>556</v>
      </c>
      <c r="D238" s="157">
        <v>1</v>
      </c>
      <c r="E238" s="69"/>
      <c r="F238" s="174"/>
      <c r="G238" s="175"/>
      <c r="H238" s="107"/>
      <c r="I238" s="202"/>
      <c r="J238" s="109" t="str">
        <f t="shared" si="18"/>
        <v/>
      </c>
      <c r="K238" s="109" t="s">
        <v>1768</v>
      </c>
      <c r="L238" s="110" t="str">
        <f t="shared" ca="1" si="19"/>
        <v/>
      </c>
    </row>
    <row r="239" spans="1:12" outlineLevel="2" x14ac:dyDescent="0.2">
      <c r="A239" s="122" t="s">
        <v>1065</v>
      </c>
      <c r="B239" s="155" t="s">
        <v>477</v>
      </c>
      <c r="C239" s="156" t="s">
        <v>476</v>
      </c>
      <c r="D239" s="157">
        <v>1</v>
      </c>
      <c r="E239" s="69"/>
      <c r="F239" s="174"/>
      <c r="G239" s="175"/>
      <c r="H239" s="107"/>
      <c r="I239" s="202"/>
      <c r="J239" s="109" t="str">
        <f t="shared" si="18"/>
        <v/>
      </c>
      <c r="K239" s="109" t="s">
        <v>1768</v>
      </c>
      <c r="L239" s="110" t="str">
        <f t="shared" ca="1" si="19"/>
        <v/>
      </c>
    </row>
    <row r="240" spans="1:12" outlineLevel="2" x14ac:dyDescent="0.2">
      <c r="A240" s="122" t="s">
        <v>1066</v>
      </c>
      <c r="B240" s="155" t="s">
        <v>626</v>
      </c>
      <c r="C240" s="156" t="s">
        <v>656</v>
      </c>
      <c r="D240" s="157">
        <v>1</v>
      </c>
      <c r="E240" s="69"/>
      <c r="F240" s="174"/>
      <c r="G240" s="175"/>
      <c r="H240" s="107"/>
      <c r="I240" s="202"/>
      <c r="J240" s="109" t="str">
        <f t="shared" si="18"/>
        <v/>
      </c>
      <c r="K240" s="109" t="s">
        <v>1768</v>
      </c>
      <c r="L240" s="110" t="str">
        <f t="shared" ca="1" si="19"/>
        <v/>
      </c>
    </row>
    <row r="241" spans="1:12" outlineLevel="2" x14ac:dyDescent="0.2">
      <c r="A241" s="122" t="s">
        <v>1067</v>
      </c>
      <c r="B241" s="155" t="s">
        <v>627</v>
      </c>
      <c r="C241" s="156" t="s">
        <v>657</v>
      </c>
      <c r="D241" s="157">
        <v>1</v>
      </c>
      <c r="E241" s="69"/>
      <c r="F241" s="174"/>
      <c r="G241" s="175"/>
      <c r="H241" s="107"/>
      <c r="I241" s="202"/>
      <c r="J241" s="109" t="str">
        <f t="shared" si="18"/>
        <v/>
      </c>
      <c r="K241" s="109" t="s">
        <v>1768</v>
      </c>
      <c r="L241" s="110" t="str">
        <f t="shared" ca="1" si="19"/>
        <v/>
      </c>
    </row>
    <row r="242" spans="1:12" ht="13.5" outlineLevel="2" thickBot="1" x14ac:dyDescent="0.25">
      <c r="A242" s="122" t="s">
        <v>1068</v>
      </c>
      <c r="B242" s="165" t="s">
        <v>628</v>
      </c>
      <c r="C242" s="166" t="s">
        <v>658</v>
      </c>
      <c r="D242" s="167">
        <v>1</v>
      </c>
      <c r="E242" s="81"/>
      <c r="F242" s="178"/>
      <c r="G242" s="179"/>
      <c r="H242" s="108"/>
      <c r="I242" s="205"/>
      <c r="J242" s="129" t="str">
        <f t="shared" si="18"/>
        <v/>
      </c>
      <c r="K242" s="129" t="s">
        <v>1768</v>
      </c>
      <c r="L242" s="130" t="str">
        <f t="shared" ca="1" si="19"/>
        <v/>
      </c>
    </row>
    <row r="243" spans="1:12" ht="13.5" outlineLevel="2" thickBot="1" x14ac:dyDescent="0.25">
      <c r="A243" s="140"/>
      <c r="B243" s="126"/>
      <c r="C243" s="152"/>
      <c r="D243" s="149"/>
      <c r="E243" s="229"/>
      <c r="F243" s="230"/>
      <c r="G243" s="231"/>
      <c r="H243" s="222"/>
      <c r="I243" s="223"/>
      <c r="J243" s="224" t="str">
        <f t="shared" si="18"/>
        <v/>
      </c>
      <c r="K243" s="224" t="s">
        <v>1768</v>
      </c>
      <c r="L243" s="225" t="str">
        <f t="shared" ca="1" si="19"/>
        <v/>
      </c>
    </row>
    <row r="244" spans="1:12" outlineLevel="2" x14ac:dyDescent="0.2">
      <c r="A244" s="352">
        <v>7</v>
      </c>
      <c r="B244" s="354" t="s">
        <v>179</v>
      </c>
      <c r="C244" s="356" t="s">
        <v>180</v>
      </c>
      <c r="D244" s="358">
        <f>F245</f>
        <v>1</v>
      </c>
      <c r="E244" s="375">
        <v>2188942.2599999998</v>
      </c>
      <c r="F244" s="227">
        <v>2188942.2599999998</v>
      </c>
      <c r="G244" s="228"/>
      <c r="H244" s="365" t="s">
        <v>452</v>
      </c>
      <c r="I244" s="204"/>
      <c r="J244" s="131" t="str">
        <f t="shared" si="18"/>
        <v/>
      </c>
      <c r="K244" s="131" t="s">
        <v>1768</v>
      </c>
      <c r="L244" s="132" t="str">
        <f t="shared" ca="1" si="19"/>
        <v/>
      </c>
    </row>
    <row r="245" spans="1:12" outlineLevel="2" x14ac:dyDescent="0.2">
      <c r="A245" s="353"/>
      <c r="B245" s="355"/>
      <c r="C245" s="357"/>
      <c r="D245" s="359"/>
      <c r="E245" s="361">
        <v>1</v>
      </c>
      <c r="F245" s="174">
        <v>1</v>
      </c>
      <c r="G245" s="175"/>
      <c r="H245" s="366"/>
      <c r="I245" s="202"/>
      <c r="J245" s="109" t="str">
        <f t="shared" si="18"/>
        <v/>
      </c>
      <c r="K245" s="109" t="s">
        <v>1768</v>
      </c>
      <c r="L245" s="110" t="str">
        <f t="shared" ca="1" si="19"/>
        <v/>
      </c>
    </row>
    <row r="246" spans="1:12" outlineLevel="2" x14ac:dyDescent="0.2">
      <c r="A246" s="122" t="s">
        <v>1332</v>
      </c>
      <c r="B246" s="155" t="s">
        <v>662</v>
      </c>
      <c r="C246" s="156" t="s">
        <v>659</v>
      </c>
      <c r="D246" s="187">
        <v>0</v>
      </c>
      <c r="E246" s="69"/>
      <c r="F246" s="174"/>
      <c r="G246" s="175"/>
      <c r="H246" s="107"/>
      <c r="I246" s="202"/>
      <c r="J246" s="109" t="str">
        <f t="shared" si="18"/>
        <v/>
      </c>
      <c r="K246" s="109" t="s">
        <v>1768</v>
      </c>
      <c r="L246" s="110" t="str">
        <f t="shared" ca="1" si="19"/>
        <v/>
      </c>
    </row>
    <row r="247" spans="1:12" outlineLevel="2" x14ac:dyDescent="0.2">
      <c r="A247" s="122" t="s">
        <v>1319</v>
      </c>
      <c r="B247" s="155" t="s">
        <v>1306</v>
      </c>
      <c r="C247" s="156"/>
      <c r="D247" s="157">
        <v>1</v>
      </c>
      <c r="E247" s="69"/>
      <c r="F247" s="174"/>
      <c r="G247" s="175"/>
      <c r="H247" s="107"/>
      <c r="I247" s="202" t="s">
        <v>1554</v>
      </c>
      <c r="J247" s="109" t="str">
        <f t="shared" ref="J247:J259" si="20">IF(I247="","", "A")</f>
        <v>A</v>
      </c>
      <c r="K247" s="109" t="s">
        <v>1606</v>
      </c>
      <c r="L247" s="110">
        <f t="shared" ref="L247:L259" ca="1" si="21">IF(I247="","",TODAY())</f>
        <v>46077</v>
      </c>
    </row>
    <row r="248" spans="1:12" outlineLevel="2" x14ac:dyDescent="0.2">
      <c r="A248" s="122" t="s">
        <v>1320</v>
      </c>
      <c r="B248" s="155" t="s">
        <v>1305</v>
      </c>
      <c r="C248" s="156"/>
      <c r="D248" s="157">
        <v>1</v>
      </c>
      <c r="E248" s="69"/>
      <c r="F248" s="174"/>
      <c r="G248" s="175"/>
      <c r="H248" s="107"/>
      <c r="I248" s="202" t="s">
        <v>1554</v>
      </c>
      <c r="J248" s="109" t="str">
        <f t="shared" si="20"/>
        <v>A</v>
      </c>
      <c r="K248" s="109" t="s">
        <v>1607</v>
      </c>
      <c r="L248" s="110">
        <f t="shared" ca="1" si="21"/>
        <v>46077</v>
      </c>
    </row>
    <row r="249" spans="1:12" outlineLevel="2" x14ac:dyDescent="0.2">
      <c r="A249" s="122" t="s">
        <v>1321</v>
      </c>
      <c r="B249" s="155" t="s">
        <v>1308</v>
      </c>
      <c r="C249" s="156"/>
      <c r="D249" s="157">
        <v>1</v>
      </c>
      <c r="E249" s="69"/>
      <c r="F249" s="174"/>
      <c r="G249" s="175"/>
      <c r="H249" s="107"/>
      <c r="I249" s="202" t="s">
        <v>1553</v>
      </c>
      <c r="J249" s="109" t="str">
        <f t="shared" si="20"/>
        <v>A</v>
      </c>
      <c r="K249" s="109" t="s">
        <v>1608</v>
      </c>
      <c r="L249" s="110">
        <f t="shared" ca="1" si="21"/>
        <v>46077</v>
      </c>
    </row>
    <row r="250" spans="1:12" outlineLevel="2" x14ac:dyDescent="0.2">
      <c r="A250" s="122" t="s">
        <v>1322</v>
      </c>
      <c r="B250" s="155" t="s">
        <v>1309</v>
      </c>
      <c r="C250" s="156"/>
      <c r="D250" s="157">
        <v>1</v>
      </c>
      <c r="E250" s="69"/>
      <c r="F250" s="174"/>
      <c r="G250" s="175"/>
      <c r="H250" s="107"/>
      <c r="I250" s="202" t="s">
        <v>1553</v>
      </c>
      <c r="J250" s="109" t="str">
        <f t="shared" si="20"/>
        <v>A</v>
      </c>
      <c r="K250" s="109" t="s">
        <v>1609</v>
      </c>
      <c r="L250" s="110">
        <f t="shared" ca="1" si="21"/>
        <v>46077</v>
      </c>
    </row>
    <row r="251" spans="1:12" outlineLevel="2" x14ac:dyDescent="0.2">
      <c r="A251" s="122" t="s">
        <v>1323</v>
      </c>
      <c r="B251" s="155" t="s">
        <v>1310</v>
      </c>
      <c r="C251" s="156"/>
      <c r="D251" s="157">
        <v>1</v>
      </c>
      <c r="E251" s="69"/>
      <c r="F251" s="174"/>
      <c r="G251" s="175"/>
      <c r="H251" s="107"/>
      <c r="I251" s="202" t="s">
        <v>1554</v>
      </c>
      <c r="J251" s="109" t="str">
        <f t="shared" si="20"/>
        <v>A</v>
      </c>
      <c r="K251" s="109" t="s">
        <v>1610</v>
      </c>
      <c r="L251" s="110">
        <f t="shared" ca="1" si="21"/>
        <v>46077</v>
      </c>
    </row>
    <row r="252" spans="1:12" outlineLevel="2" x14ac:dyDescent="0.2">
      <c r="A252" s="122" t="s">
        <v>1324</v>
      </c>
      <c r="B252" s="155" t="s">
        <v>1318</v>
      </c>
      <c r="C252" s="156"/>
      <c r="D252" s="157">
        <v>2</v>
      </c>
      <c r="E252" s="69"/>
      <c r="F252" s="174"/>
      <c r="G252" s="175"/>
      <c r="H252" s="107"/>
      <c r="I252" s="202" t="s">
        <v>1556</v>
      </c>
      <c r="J252" s="109" t="str">
        <f t="shared" si="20"/>
        <v>A</v>
      </c>
      <c r="K252" s="109" t="s">
        <v>1611</v>
      </c>
      <c r="L252" s="110">
        <f t="shared" ca="1" si="21"/>
        <v>46077</v>
      </c>
    </row>
    <row r="253" spans="1:12" outlineLevel="2" x14ac:dyDescent="0.2">
      <c r="A253" s="122" t="s">
        <v>1325</v>
      </c>
      <c r="B253" s="155" t="s">
        <v>1311</v>
      </c>
      <c r="C253" s="156"/>
      <c r="D253" s="157">
        <v>1</v>
      </c>
      <c r="E253" s="69"/>
      <c r="F253" s="174"/>
      <c r="G253" s="175"/>
      <c r="H253" s="107"/>
      <c r="I253" s="202" t="s">
        <v>1553</v>
      </c>
      <c r="J253" s="109" t="str">
        <f t="shared" si="20"/>
        <v>A</v>
      </c>
      <c r="K253" s="109" t="s">
        <v>1612</v>
      </c>
      <c r="L253" s="110">
        <f t="shared" ca="1" si="21"/>
        <v>46077</v>
      </c>
    </row>
    <row r="254" spans="1:12" outlineLevel="2" x14ac:dyDescent="0.2">
      <c r="A254" s="122" t="s">
        <v>1326</v>
      </c>
      <c r="B254" s="155" t="s">
        <v>1312</v>
      </c>
      <c r="C254" s="156"/>
      <c r="D254" s="157">
        <v>1</v>
      </c>
      <c r="E254" s="69"/>
      <c r="F254" s="174"/>
      <c r="G254" s="175"/>
      <c r="H254" s="107"/>
      <c r="I254" s="202" t="s">
        <v>1553</v>
      </c>
      <c r="J254" s="109" t="str">
        <f t="shared" si="20"/>
        <v>A</v>
      </c>
      <c r="K254" s="109" t="s">
        <v>1613</v>
      </c>
      <c r="L254" s="110">
        <f t="shared" ca="1" si="21"/>
        <v>46077</v>
      </c>
    </row>
    <row r="255" spans="1:12" outlineLevel="2" x14ac:dyDescent="0.2">
      <c r="A255" s="122" t="s">
        <v>1327</v>
      </c>
      <c r="B255" s="155" t="s">
        <v>1317</v>
      </c>
      <c r="C255" s="156"/>
      <c r="D255" s="157">
        <v>1</v>
      </c>
      <c r="E255" s="69"/>
      <c r="F255" s="174"/>
      <c r="G255" s="175"/>
      <c r="H255" s="107"/>
      <c r="I255" s="202" t="s">
        <v>1553</v>
      </c>
      <c r="J255" s="109" t="str">
        <f t="shared" si="20"/>
        <v>A</v>
      </c>
      <c r="K255" s="109" t="s">
        <v>1614</v>
      </c>
      <c r="L255" s="110">
        <f t="shared" ca="1" si="21"/>
        <v>46077</v>
      </c>
    </row>
    <row r="256" spans="1:12" outlineLevel="2" x14ac:dyDescent="0.2">
      <c r="A256" s="122" t="s">
        <v>1328</v>
      </c>
      <c r="B256" s="155" t="s">
        <v>1313</v>
      </c>
      <c r="C256" s="156"/>
      <c r="D256" s="157">
        <v>1</v>
      </c>
      <c r="E256" s="69"/>
      <c r="F256" s="174"/>
      <c r="G256" s="175"/>
      <c r="H256" s="107"/>
      <c r="I256" s="202" t="s">
        <v>1552</v>
      </c>
      <c r="J256" s="109" t="str">
        <f t="shared" si="20"/>
        <v>A</v>
      </c>
      <c r="K256" s="109" t="s">
        <v>1615</v>
      </c>
      <c r="L256" s="110">
        <f t="shared" ca="1" si="21"/>
        <v>46077</v>
      </c>
    </row>
    <row r="257" spans="1:12" outlineLevel="2" x14ac:dyDescent="0.2">
      <c r="A257" s="122" t="s">
        <v>1329</v>
      </c>
      <c r="B257" s="155" t="s">
        <v>1314</v>
      </c>
      <c r="C257" s="156"/>
      <c r="D257" s="157">
        <v>1</v>
      </c>
      <c r="E257" s="69"/>
      <c r="F257" s="174"/>
      <c r="G257" s="175"/>
      <c r="H257" s="107"/>
      <c r="I257" s="202" t="s">
        <v>1552</v>
      </c>
      <c r="J257" s="109" t="str">
        <f t="shared" si="20"/>
        <v>A</v>
      </c>
      <c r="K257" s="109" t="s">
        <v>1616</v>
      </c>
      <c r="L257" s="110">
        <f t="shared" ca="1" si="21"/>
        <v>46077</v>
      </c>
    </row>
    <row r="258" spans="1:12" outlineLevel="2" x14ac:dyDescent="0.2">
      <c r="A258" s="122" t="s">
        <v>1330</v>
      </c>
      <c r="B258" s="155" t="s">
        <v>1315</v>
      </c>
      <c r="C258" s="156"/>
      <c r="D258" s="157">
        <v>1</v>
      </c>
      <c r="E258" s="69"/>
      <c r="F258" s="174"/>
      <c r="G258" s="175"/>
      <c r="H258" s="107"/>
      <c r="I258" s="202" t="s">
        <v>1554</v>
      </c>
      <c r="J258" s="109" t="str">
        <f t="shared" si="20"/>
        <v>A</v>
      </c>
      <c r="K258" s="109" t="s">
        <v>1617</v>
      </c>
      <c r="L258" s="110">
        <f t="shared" ca="1" si="21"/>
        <v>46077</v>
      </c>
    </row>
    <row r="259" spans="1:12" outlineLevel="2" x14ac:dyDescent="0.2">
      <c r="A259" s="122" t="s">
        <v>1331</v>
      </c>
      <c r="B259" s="155" t="s">
        <v>1316</v>
      </c>
      <c r="C259" s="156"/>
      <c r="D259" s="157">
        <v>1</v>
      </c>
      <c r="E259" s="69"/>
      <c r="F259" s="174"/>
      <c r="G259" s="175"/>
      <c r="H259" s="107"/>
      <c r="I259" s="202" t="s">
        <v>1554</v>
      </c>
      <c r="J259" s="109" t="str">
        <f t="shared" si="20"/>
        <v>A</v>
      </c>
      <c r="K259" s="109" t="s">
        <v>1618</v>
      </c>
      <c r="L259" s="110">
        <f t="shared" ca="1" si="21"/>
        <v>46077</v>
      </c>
    </row>
    <row r="260" spans="1:12" outlineLevel="2" x14ac:dyDescent="0.2">
      <c r="A260" s="122" t="s">
        <v>1333</v>
      </c>
      <c r="B260" s="155" t="s">
        <v>600</v>
      </c>
      <c r="C260" s="156" t="s">
        <v>630</v>
      </c>
      <c r="D260" s="157">
        <v>1</v>
      </c>
      <c r="E260" s="69"/>
      <c r="F260" s="174"/>
      <c r="G260" s="175"/>
      <c r="H260" s="107"/>
      <c r="I260" s="202"/>
      <c r="J260" s="109" t="str">
        <f t="shared" si="18"/>
        <v/>
      </c>
      <c r="K260" s="109" t="s">
        <v>1768</v>
      </c>
      <c r="L260" s="110" t="str">
        <f t="shared" ca="1" si="19"/>
        <v/>
      </c>
    </row>
    <row r="261" spans="1:12" outlineLevel="2" x14ac:dyDescent="0.2">
      <c r="A261" s="122" t="s">
        <v>1334</v>
      </c>
      <c r="B261" s="155" t="s">
        <v>601</v>
      </c>
      <c r="C261" s="156" t="s">
        <v>631</v>
      </c>
      <c r="D261" s="157">
        <v>1</v>
      </c>
      <c r="E261" s="69"/>
      <c r="F261" s="174"/>
      <c r="G261" s="175"/>
      <c r="H261" s="107"/>
      <c r="I261" s="202"/>
      <c r="J261" s="109" t="str">
        <f t="shared" si="18"/>
        <v/>
      </c>
      <c r="K261" s="109" t="s">
        <v>1768</v>
      </c>
      <c r="L261" s="110" t="str">
        <f t="shared" ca="1" si="19"/>
        <v/>
      </c>
    </row>
    <row r="262" spans="1:12" outlineLevel="2" x14ac:dyDescent="0.2">
      <c r="A262" s="122" t="s">
        <v>1335</v>
      </c>
      <c r="B262" s="155" t="s">
        <v>562</v>
      </c>
      <c r="C262" s="156" t="s">
        <v>541</v>
      </c>
      <c r="D262" s="157">
        <v>1</v>
      </c>
      <c r="E262" s="69"/>
      <c r="F262" s="174"/>
      <c r="G262" s="175"/>
      <c r="H262" s="107"/>
      <c r="I262" s="202"/>
      <c r="J262" s="109" t="str">
        <f t="shared" si="18"/>
        <v/>
      </c>
      <c r="K262" s="109" t="s">
        <v>1768</v>
      </c>
      <c r="L262" s="110" t="str">
        <f t="shared" ca="1" si="19"/>
        <v/>
      </c>
    </row>
    <row r="263" spans="1:12" outlineLevel="2" x14ac:dyDescent="0.2">
      <c r="A263" s="122" t="s">
        <v>1336</v>
      </c>
      <c r="B263" s="155" t="s">
        <v>663</v>
      </c>
      <c r="C263" s="156" t="s">
        <v>660</v>
      </c>
      <c r="D263" s="157">
        <v>1</v>
      </c>
      <c r="E263" s="69"/>
      <c r="F263" s="174"/>
      <c r="G263" s="175"/>
      <c r="H263" s="107"/>
      <c r="I263" s="202"/>
      <c r="J263" s="109" t="str">
        <f t="shared" si="18"/>
        <v/>
      </c>
      <c r="K263" s="109" t="s">
        <v>1768</v>
      </c>
      <c r="L263" s="110" t="str">
        <f t="shared" ca="1" si="19"/>
        <v/>
      </c>
    </row>
    <row r="264" spans="1:12" outlineLevel="2" x14ac:dyDescent="0.2">
      <c r="A264" s="122" t="s">
        <v>1337</v>
      </c>
      <c r="B264" s="155" t="s">
        <v>664</v>
      </c>
      <c r="C264" s="156" t="s">
        <v>661</v>
      </c>
      <c r="D264" s="157">
        <v>1</v>
      </c>
      <c r="E264" s="69"/>
      <c r="F264" s="174"/>
      <c r="G264" s="175"/>
      <c r="H264" s="107"/>
      <c r="I264" s="202"/>
      <c r="J264" s="109" t="str">
        <f t="shared" si="18"/>
        <v/>
      </c>
      <c r="K264" s="109" t="s">
        <v>1768</v>
      </c>
      <c r="L264" s="110" t="str">
        <f t="shared" ca="1" si="19"/>
        <v/>
      </c>
    </row>
    <row r="265" spans="1:12" outlineLevel="2" x14ac:dyDescent="0.2">
      <c r="A265" s="122" t="s">
        <v>1338</v>
      </c>
      <c r="B265" s="155" t="s">
        <v>622</v>
      </c>
      <c r="C265" s="156" t="s">
        <v>652</v>
      </c>
      <c r="D265" s="157">
        <v>1</v>
      </c>
      <c r="E265" s="69"/>
      <c r="F265" s="174"/>
      <c r="G265" s="175"/>
      <c r="H265" s="107"/>
      <c r="I265" s="202"/>
      <c r="J265" s="109" t="str">
        <f t="shared" ref="J265:J354" si="22">IF(I265="","", "A")</f>
        <v/>
      </c>
      <c r="K265" s="109" t="s">
        <v>1768</v>
      </c>
      <c r="L265" s="110" t="str">
        <f t="shared" ref="L265:L354" ca="1" si="23">IF(I265="","",TODAY())</f>
        <v/>
      </c>
    </row>
    <row r="266" spans="1:12" outlineLevel="2" x14ac:dyDescent="0.2">
      <c r="A266" s="122" t="s">
        <v>1339</v>
      </c>
      <c r="B266" s="155" t="s">
        <v>621</v>
      </c>
      <c r="C266" s="156" t="s">
        <v>651</v>
      </c>
      <c r="D266" s="157">
        <v>1</v>
      </c>
      <c r="E266" s="69"/>
      <c r="F266" s="174"/>
      <c r="G266" s="175"/>
      <c r="H266" s="107"/>
      <c r="I266" s="202"/>
      <c r="J266" s="109" t="str">
        <f t="shared" si="22"/>
        <v/>
      </c>
      <c r="K266" s="109" t="s">
        <v>1768</v>
      </c>
      <c r="L266" s="110" t="str">
        <f t="shared" ca="1" si="23"/>
        <v/>
      </c>
    </row>
    <row r="267" spans="1:12" outlineLevel="2" x14ac:dyDescent="0.2">
      <c r="A267" s="122" t="s">
        <v>1340</v>
      </c>
      <c r="B267" s="155" t="s">
        <v>573</v>
      </c>
      <c r="C267" s="156" t="s">
        <v>552</v>
      </c>
      <c r="D267" s="157">
        <v>1</v>
      </c>
      <c r="E267" s="69"/>
      <c r="F267" s="174"/>
      <c r="G267" s="175"/>
      <c r="H267" s="107"/>
      <c r="I267" s="202"/>
      <c r="J267" s="109" t="str">
        <f t="shared" si="22"/>
        <v/>
      </c>
      <c r="K267" s="109" t="s">
        <v>1768</v>
      </c>
      <c r="L267" s="110" t="str">
        <f t="shared" ca="1" si="23"/>
        <v/>
      </c>
    </row>
    <row r="268" spans="1:12" ht="13.5" outlineLevel="2" thickBot="1" x14ac:dyDescent="0.25">
      <c r="A268" s="122" t="s">
        <v>1341</v>
      </c>
      <c r="B268" s="165" t="s">
        <v>577</v>
      </c>
      <c r="C268" s="166" t="s">
        <v>556</v>
      </c>
      <c r="D268" s="167">
        <v>1</v>
      </c>
      <c r="E268" s="81"/>
      <c r="F268" s="178"/>
      <c r="G268" s="179"/>
      <c r="H268" s="113"/>
      <c r="I268" s="205"/>
      <c r="J268" s="129" t="str">
        <f t="shared" si="22"/>
        <v/>
      </c>
      <c r="K268" s="129" t="s">
        <v>1768</v>
      </c>
      <c r="L268" s="130" t="str">
        <f t="shared" ca="1" si="23"/>
        <v/>
      </c>
    </row>
    <row r="269" spans="1:12" outlineLevel="2" x14ac:dyDescent="0.2">
      <c r="A269" s="141"/>
      <c r="B269" s="144"/>
      <c r="C269" s="153"/>
      <c r="D269" s="150"/>
      <c r="E269" s="59"/>
      <c r="F269" s="180"/>
      <c r="G269" s="181"/>
      <c r="H269" s="114"/>
      <c r="I269" s="211"/>
      <c r="J269" s="203" t="str">
        <f t="shared" si="22"/>
        <v/>
      </c>
      <c r="K269" s="203" t="s">
        <v>1768</v>
      </c>
      <c r="L269" s="212" t="str">
        <f t="shared" ca="1" si="23"/>
        <v/>
      </c>
    </row>
    <row r="270" spans="1:12" ht="13.5" outlineLevel="2" thickBot="1" x14ac:dyDescent="0.25">
      <c r="A270" s="142"/>
      <c r="B270" s="83"/>
      <c r="C270" s="154"/>
      <c r="D270" s="151"/>
      <c r="E270" s="84"/>
      <c r="F270" s="182"/>
      <c r="G270" s="183"/>
      <c r="H270" s="115"/>
      <c r="I270" s="218"/>
      <c r="J270" s="219" t="str">
        <f t="shared" si="22"/>
        <v/>
      </c>
      <c r="K270" s="219" t="s">
        <v>1768</v>
      </c>
      <c r="L270" s="220" t="str">
        <f t="shared" ca="1" si="23"/>
        <v/>
      </c>
    </row>
    <row r="271" spans="1:12" outlineLevel="2" x14ac:dyDescent="0.2">
      <c r="A271" s="369">
        <v>8</v>
      </c>
      <c r="B271" s="370" t="s">
        <v>181</v>
      </c>
      <c r="C271" s="371" t="s">
        <v>182</v>
      </c>
      <c r="D271" s="372">
        <f>F272</f>
        <v>1</v>
      </c>
      <c r="E271" s="374">
        <v>1142433.5900000001</v>
      </c>
      <c r="F271" s="188">
        <v>1142433.5900000001</v>
      </c>
      <c r="G271" s="173"/>
      <c r="H271" s="381" t="s">
        <v>452</v>
      </c>
      <c r="I271" s="202"/>
      <c r="J271" s="109" t="str">
        <f t="shared" si="22"/>
        <v/>
      </c>
      <c r="K271" s="109" t="s">
        <v>1768</v>
      </c>
      <c r="L271" s="110" t="str">
        <f t="shared" ca="1" si="23"/>
        <v/>
      </c>
    </row>
    <row r="272" spans="1:12" outlineLevel="2" x14ac:dyDescent="0.2">
      <c r="A272" s="362"/>
      <c r="B272" s="363"/>
      <c r="C272" s="364"/>
      <c r="D272" s="373"/>
      <c r="E272" s="375">
        <v>1</v>
      </c>
      <c r="F272" s="174">
        <v>1</v>
      </c>
      <c r="G272" s="175"/>
      <c r="H272" s="382"/>
      <c r="I272" s="202"/>
      <c r="J272" s="109" t="str">
        <f t="shared" si="22"/>
        <v/>
      </c>
      <c r="K272" s="109" t="s">
        <v>1768</v>
      </c>
      <c r="L272" s="110" t="str">
        <f t="shared" ca="1" si="23"/>
        <v/>
      </c>
    </row>
    <row r="273" spans="1:12" outlineLevel="2" x14ac:dyDescent="0.2">
      <c r="A273" s="122" t="s">
        <v>1355</v>
      </c>
      <c r="B273" s="155" t="s">
        <v>665</v>
      </c>
      <c r="C273" s="156" t="s">
        <v>667</v>
      </c>
      <c r="D273" s="157">
        <v>0</v>
      </c>
      <c r="E273" s="69"/>
      <c r="F273" s="174"/>
      <c r="G273" s="175"/>
      <c r="H273" s="107"/>
      <c r="I273" s="202"/>
      <c r="J273" s="109" t="str">
        <f t="shared" si="22"/>
        <v/>
      </c>
      <c r="K273" s="109" t="s">
        <v>1768</v>
      </c>
      <c r="L273" s="110" t="str">
        <f t="shared" ca="1" si="23"/>
        <v/>
      </c>
    </row>
    <row r="274" spans="1:12" outlineLevel="2" x14ac:dyDescent="0.2">
      <c r="A274" s="122" t="s">
        <v>1342</v>
      </c>
      <c r="B274" s="155" t="s">
        <v>1306</v>
      </c>
      <c r="C274" s="156"/>
      <c r="D274" s="157">
        <v>1</v>
      </c>
      <c r="E274" s="69"/>
      <c r="F274" s="174"/>
      <c r="G274" s="175"/>
      <c r="H274" s="107"/>
      <c r="I274" s="202" t="s">
        <v>1554</v>
      </c>
      <c r="J274" s="109" t="str">
        <f t="shared" si="22"/>
        <v>A</v>
      </c>
      <c r="K274" s="109" t="s">
        <v>1606</v>
      </c>
      <c r="L274" s="110">
        <f t="shared" ca="1" si="23"/>
        <v>46077</v>
      </c>
    </row>
    <row r="275" spans="1:12" outlineLevel="2" x14ac:dyDescent="0.2">
      <c r="A275" s="122" t="s">
        <v>1343</v>
      </c>
      <c r="B275" s="155" t="s">
        <v>1305</v>
      </c>
      <c r="C275" s="156"/>
      <c r="D275" s="157">
        <v>1</v>
      </c>
      <c r="E275" s="69"/>
      <c r="F275" s="174"/>
      <c r="G275" s="175"/>
      <c r="H275" s="107"/>
      <c r="I275" s="202" t="s">
        <v>1554</v>
      </c>
      <c r="J275" s="109" t="str">
        <f t="shared" si="22"/>
        <v>A</v>
      </c>
      <c r="K275" s="109" t="s">
        <v>1607</v>
      </c>
      <c r="L275" s="110">
        <f t="shared" ca="1" si="23"/>
        <v>46077</v>
      </c>
    </row>
    <row r="276" spans="1:12" outlineLevel="2" x14ac:dyDescent="0.2">
      <c r="A276" s="122" t="s">
        <v>1344</v>
      </c>
      <c r="B276" s="155" t="s">
        <v>1308</v>
      </c>
      <c r="C276" s="156"/>
      <c r="D276" s="157">
        <v>1</v>
      </c>
      <c r="E276" s="69"/>
      <c r="F276" s="174"/>
      <c r="G276" s="175"/>
      <c r="H276" s="107"/>
      <c r="I276" s="202" t="s">
        <v>1553</v>
      </c>
      <c r="J276" s="109" t="str">
        <f t="shared" si="22"/>
        <v>A</v>
      </c>
      <c r="K276" s="109" t="s">
        <v>1608</v>
      </c>
      <c r="L276" s="110">
        <f t="shared" ca="1" si="23"/>
        <v>46077</v>
      </c>
    </row>
    <row r="277" spans="1:12" outlineLevel="2" x14ac:dyDescent="0.2">
      <c r="A277" s="122" t="s">
        <v>1345</v>
      </c>
      <c r="B277" s="155" t="s">
        <v>1309</v>
      </c>
      <c r="C277" s="156"/>
      <c r="D277" s="157">
        <v>1</v>
      </c>
      <c r="E277" s="69"/>
      <c r="F277" s="174"/>
      <c r="G277" s="175"/>
      <c r="H277" s="107"/>
      <c r="I277" s="202" t="s">
        <v>1553</v>
      </c>
      <c r="J277" s="109" t="str">
        <f t="shared" si="22"/>
        <v>A</v>
      </c>
      <c r="K277" s="109" t="s">
        <v>1609</v>
      </c>
      <c r="L277" s="110">
        <f t="shared" ca="1" si="23"/>
        <v>46077</v>
      </c>
    </row>
    <row r="278" spans="1:12" outlineLevel="2" x14ac:dyDescent="0.2">
      <c r="A278" s="122" t="s">
        <v>1346</v>
      </c>
      <c r="B278" s="155" t="s">
        <v>1310</v>
      </c>
      <c r="C278" s="156"/>
      <c r="D278" s="157">
        <v>1</v>
      </c>
      <c r="E278" s="69"/>
      <c r="F278" s="174"/>
      <c r="G278" s="175"/>
      <c r="H278" s="107"/>
      <c r="I278" s="202" t="s">
        <v>1554</v>
      </c>
      <c r="J278" s="109" t="str">
        <f t="shared" si="22"/>
        <v>A</v>
      </c>
      <c r="K278" s="109" t="s">
        <v>1610</v>
      </c>
      <c r="L278" s="110">
        <f t="shared" ca="1" si="23"/>
        <v>46077</v>
      </c>
    </row>
    <row r="279" spans="1:12" outlineLevel="2" x14ac:dyDescent="0.2">
      <c r="A279" s="122" t="s">
        <v>1347</v>
      </c>
      <c r="B279" s="155" t="s">
        <v>1318</v>
      </c>
      <c r="C279" s="156"/>
      <c r="D279" s="157">
        <v>2</v>
      </c>
      <c r="E279" s="69"/>
      <c r="F279" s="174"/>
      <c r="G279" s="175"/>
      <c r="H279" s="107"/>
      <c r="I279" s="202" t="s">
        <v>1556</v>
      </c>
      <c r="J279" s="109" t="str">
        <f t="shared" si="22"/>
        <v>A</v>
      </c>
      <c r="K279" s="109" t="s">
        <v>1611</v>
      </c>
      <c r="L279" s="110">
        <f t="shared" ca="1" si="23"/>
        <v>46077</v>
      </c>
    </row>
    <row r="280" spans="1:12" outlineLevel="2" x14ac:dyDescent="0.2">
      <c r="A280" s="122" t="s">
        <v>1348</v>
      </c>
      <c r="B280" s="155" t="s">
        <v>1311</v>
      </c>
      <c r="C280" s="156"/>
      <c r="D280" s="157">
        <v>1</v>
      </c>
      <c r="E280" s="69"/>
      <c r="F280" s="174"/>
      <c r="G280" s="175"/>
      <c r="H280" s="107"/>
      <c r="I280" s="202" t="s">
        <v>1553</v>
      </c>
      <c r="J280" s="109" t="str">
        <f t="shared" si="22"/>
        <v>A</v>
      </c>
      <c r="K280" s="109" t="s">
        <v>1612</v>
      </c>
      <c r="L280" s="110">
        <f t="shared" ca="1" si="23"/>
        <v>46077</v>
      </c>
    </row>
    <row r="281" spans="1:12" outlineLevel="2" x14ac:dyDescent="0.2">
      <c r="A281" s="122" t="s">
        <v>1349</v>
      </c>
      <c r="B281" s="155" t="s">
        <v>1312</v>
      </c>
      <c r="C281" s="156"/>
      <c r="D281" s="157">
        <v>1</v>
      </c>
      <c r="E281" s="69"/>
      <c r="F281" s="174"/>
      <c r="G281" s="175"/>
      <c r="H281" s="107"/>
      <c r="I281" s="202" t="s">
        <v>1553</v>
      </c>
      <c r="J281" s="109" t="str">
        <f t="shared" si="22"/>
        <v>A</v>
      </c>
      <c r="K281" s="109" t="s">
        <v>1613</v>
      </c>
      <c r="L281" s="110">
        <f t="shared" ca="1" si="23"/>
        <v>46077</v>
      </c>
    </row>
    <row r="282" spans="1:12" outlineLevel="2" x14ac:dyDescent="0.2">
      <c r="A282" s="122" t="s">
        <v>1350</v>
      </c>
      <c r="B282" s="155" t="s">
        <v>1317</v>
      </c>
      <c r="C282" s="156"/>
      <c r="D282" s="157">
        <v>1</v>
      </c>
      <c r="E282" s="69"/>
      <c r="F282" s="174"/>
      <c r="G282" s="175"/>
      <c r="H282" s="107"/>
      <c r="I282" s="202" t="s">
        <v>1553</v>
      </c>
      <c r="J282" s="109" t="str">
        <f t="shared" si="22"/>
        <v>A</v>
      </c>
      <c r="K282" s="109" t="s">
        <v>1614</v>
      </c>
      <c r="L282" s="110">
        <f t="shared" ca="1" si="23"/>
        <v>46077</v>
      </c>
    </row>
    <row r="283" spans="1:12" outlineLevel="2" x14ac:dyDescent="0.2">
      <c r="A283" s="122" t="s">
        <v>1351</v>
      </c>
      <c r="B283" s="155" t="s">
        <v>1358</v>
      </c>
      <c r="C283" s="156"/>
      <c r="D283" s="157">
        <v>1</v>
      </c>
      <c r="E283" s="69"/>
      <c r="F283" s="174"/>
      <c r="G283" s="175"/>
      <c r="H283" s="107"/>
      <c r="I283" s="202" t="s">
        <v>1552</v>
      </c>
      <c r="J283" s="109" t="str">
        <f t="shared" si="22"/>
        <v>A</v>
      </c>
      <c r="K283" s="109" t="s">
        <v>1615</v>
      </c>
      <c r="L283" s="110">
        <f t="shared" ca="1" si="23"/>
        <v>46077</v>
      </c>
    </row>
    <row r="284" spans="1:12" outlineLevel="2" x14ac:dyDescent="0.2">
      <c r="A284" s="122" t="s">
        <v>1352</v>
      </c>
      <c r="B284" s="155" t="s">
        <v>1359</v>
      </c>
      <c r="C284" s="156"/>
      <c r="D284" s="157">
        <v>1</v>
      </c>
      <c r="E284" s="69"/>
      <c r="F284" s="174"/>
      <c r="G284" s="175"/>
      <c r="H284" s="107"/>
      <c r="I284" s="202" t="s">
        <v>1552</v>
      </c>
      <c r="J284" s="109" t="str">
        <f t="shared" si="22"/>
        <v>A</v>
      </c>
      <c r="K284" s="109" t="s">
        <v>1616</v>
      </c>
      <c r="L284" s="110">
        <f t="shared" ca="1" si="23"/>
        <v>46077</v>
      </c>
    </row>
    <row r="285" spans="1:12" outlineLevel="2" x14ac:dyDescent="0.2">
      <c r="A285" s="122" t="s">
        <v>1353</v>
      </c>
      <c r="B285" s="155" t="s">
        <v>1315</v>
      </c>
      <c r="C285" s="156"/>
      <c r="D285" s="157">
        <v>1</v>
      </c>
      <c r="E285" s="69"/>
      <c r="F285" s="174"/>
      <c r="G285" s="175"/>
      <c r="H285" s="107"/>
      <c r="I285" s="202" t="s">
        <v>1554</v>
      </c>
      <c r="J285" s="109" t="str">
        <f t="shared" si="22"/>
        <v>A</v>
      </c>
      <c r="K285" s="109" t="s">
        <v>1617</v>
      </c>
      <c r="L285" s="110">
        <f t="shared" ca="1" si="23"/>
        <v>46077</v>
      </c>
    </row>
    <row r="286" spans="1:12" outlineLevel="2" x14ac:dyDescent="0.2">
      <c r="A286" s="122" t="s">
        <v>1354</v>
      </c>
      <c r="B286" s="155" t="s">
        <v>1316</v>
      </c>
      <c r="C286" s="156"/>
      <c r="D286" s="157">
        <v>1</v>
      </c>
      <c r="E286" s="69"/>
      <c r="F286" s="174"/>
      <c r="G286" s="175"/>
      <c r="H286" s="107"/>
      <c r="I286" s="202" t="s">
        <v>1554</v>
      </c>
      <c r="J286" s="109" t="str">
        <f t="shared" si="22"/>
        <v>A</v>
      </c>
      <c r="K286" s="109" t="s">
        <v>1618</v>
      </c>
      <c r="L286" s="110">
        <f t="shared" ca="1" si="23"/>
        <v>46077</v>
      </c>
    </row>
    <row r="287" spans="1:12" outlineLevel="2" x14ac:dyDescent="0.2">
      <c r="A287" s="122" t="s">
        <v>1356</v>
      </c>
      <c r="B287" s="155" t="s">
        <v>663</v>
      </c>
      <c r="C287" s="156" t="s">
        <v>660</v>
      </c>
      <c r="D287" s="157">
        <v>1</v>
      </c>
      <c r="E287" s="69"/>
      <c r="F287" s="174"/>
      <c r="G287" s="175"/>
      <c r="H287" s="107"/>
      <c r="I287" s="202"/>
      <c r="J287" s="109" t="str">
        <f t="shared" si="22"/>
        <v/>
      </c>
      <c r="K287" s="109" t="s">
        <v>1768</v>
      </c>
      <c r="L287" s="110" t="str">
        <f t="shared" ca="1" si="23"/>
        <v/>
      </c>
    </row>
    <row r="288" spans="1:12" ht="13.5" outlineLevel="2" thickBot="1" x14ac:dyDescent="0.25">
      <c r="A288" s="122" t="s">
        <v>1357</v>
      </c>
      <c r="B288" s="165" t="s">
        <v>666</v>
      </c>
      <c r="C288" s="166" t="s">
        <v>668</v>
      </c>
      <c r="D288" s="167">
        <v>1</v>
      </c>
      <c r="E288" s="81"/>
      <c r="F288" s="178"/>
      <c r="G288" s="179"/>
      <c r="H288" s="113"/>
      <c r="I288" s="205"/>
      <c r="J288" s="129" t="str">
        <f t="shared" si="22"/>
        <v/>
      </c>
      <c r="K288" s="129" t="s">
        <v>1768</v>
      </c>
      <c r="L288" s="130" t="str">
        <f t="shared" ca="1" si="23"/>
        <v/>
      </c>
    </row>
    <row r="289" spans="1:12" outlineLevel="2" x14ac:dyDescent="0.2">
      <c r="A289" s="140"/>
      <c r="B289" s="144"/>
      <c r="C289" s="153"/>
      <c r="D289" s="150"/>
      <c r="E289" s="59"/>
      <c r="F289" s="180"/>
      <c r="G289" s="181"/>
      <c r="H289" s="114"/>
      <c r="I289" s="211"/>
      <c r="J289" s="203" t="str">
        <f t="shared" si="22"/>
        <v/>
      </c>
      <c r="K289" s="203" t="s">
        <v>1768</v>
      </c>
      <c r="L289" s="212" t="str">
        <f t="shared" ca="1" si="23"/>
        <v/>
      </c>
    </row>
    <row r="290" spans="1:12" ht="13.5" outlineLevel="2" thickBot="1" x14ac:dyDescent="0.25">
      <c r="A290" s="140"/>
      <c r="B290" s="83"/>
      <c r="C290" s="154"/>
      <c r="D290" s="151"/>
      <c r="E290" s="84"/>
      <c r="F290" s="182"/>
      <c r="G290" s="183"/>
      <c r="H290" s="115"/>
      <c r="I290" s="218"/>
      <c r="J290" s="219" t="str">
        <f t="shared" si="22"/>
        <v/>
      </c>
      <c r="K290" s="219" t="s">
        <v>1768</v>
      </c>
      <c r="L290" s="220" t="str">
        <f t="shared" ca="1" si="23"/>
        <v/>
      </c>
    </row>
    <row r="291" spans="1:12" outlineLevel="2" x14ac:dyDescent="0.2">
      <c r="A291" s="352">
        <v>9</v>
      </c>
      <c r="B291" s="354" t="s">
        <v>183</v>
      </c>
      <c r="C291" s="356" t="s">
        <v>184</v>
      </c>
      <c r="D291" s="358">
        <f>F292</f>
        <v>1</v>
      </c>
      <c r="E291" s="360">
        <v>1219475.47</v>
      </c>
      <c r="F291" s="172">
        <v>1219475.47</v>
      </c>
      <c r="G291" s="173"/>
      <c r="H291" s="379" t="s">
        <v>452</v>
      </c>
      <c r="I291" s="202"/>
      <c r="J291" s="109" t="str">
        <f t="shared" si="22"/>
        <v/>
      </c>
      <c r="K291" s="109" t="s">
        <v>1768</v>
      </c>
      <c r="L291" s="110" t="str">
        <f t="shared" ca="1" si="23"/>
        <v/>
      </c>
    </row>
    <row r="292" spans="1:12" outlineLevel="2" x14ac:dyDescent="0.2">
      <c r="A292" s="353"/>
      <c r="B292" s="355"/>
      <c r="C292" s="357"/>
      <c r="D292" s="359"/>
      <c r="E292" s="361">
        <v>1</v>
      </c>
      <c r="F292" s="174">
        <v>1</v>
      </c>
      <c r="G292" s="175"/>
      <c r="H292" s="366"/>
      <c r="I292" s="202"/>
      <c r="J292" s="109" t="str">
        <f t="shared" si="22"/>
        <v/>
      </c>
      <c r="K292" s="109" t="s">
        <v>1768</v>
      </c>
      <c r="L292" s="110" t="str">
        <f t="shared" ca="1" si="23"/>
        <v/>
      </c>
    </row>
    <row r="293" spans="1:12" outlineLevel="2" x14ac:dyDescent="0.2">
      <c r="A293" s="145"/>
      <c r="B293" s="155" t="s">
        <v>669</v>
      </c>
      <c r="C293" s="155" t="s">
        <v>673</v>
      </c>
      <c r="D293" s="176">
        <v>0</v>
      </c>
      <c r="E293" s="69"/>
      <c r="F293" s="174"/>
      <c r="G293" s="175"/>
      <c r="H293" s="109"/>
      <c r="I293" s="87"/>
      <c r="J293" s="87"/>
      <c r="K293" s="87"/>
      <c r="L293" s="87"/>
    </row>
    <row r="294" spans="1:12" outlineLevel="2" x14ac:dyDescent="0.2">
      <c r="A294" s="122" t="s">
        <v>1342</v>
      </c>
      <c r="B294" s="155" t="s">
        <v>1306</v>
      </c>
      <c r="C294" s="156"/>
      <c r="D294" s="157">
        <v>1</v>
      </c>
      <c r="E294" s="69"/>
      <c r="F294" s="174"/>
      <c r="G294" s="175"/>
      <c r="H294" s="107"/>
      <c r="I294" s="202" t="s">
        <v>1554</v>
      </c>
      <c r="J294" s="109" t="str">
        <f t="shared" ref="J294:J306" si="24">IF(I294="","", "A")</f>
        <v>A</v>
      </c>
      <c r="K294" s="109" t="s">
        <v>1606</v>
      </c>
      <c r="L294" s="110">
        <f t="shared" ref="L294:L306" ca="1" si="25">IF(I294="","",TODAY())</f>
        <v>46077</v>
      </c>
    </row>
    <row r="295" spans="1:12" outlineLevel="2" x14ac:dyDescent="0.2">
      <c r="A295" s="122" t="s">
        <v>1343</v>
      </c>
      <c r="B295" s="155" t="s">
        <v>1305</v>
      </c>
      <c r="C295" s="156"/>
      <c r="D295" s="157">
        <v>1</v>
      </c>
      <c r="E295" s="69"/>
      <c r="F295" s="174"/>
      <c r="G295" s="175"/>
      <c r="H295" s="107"/>
      <c r="I295" s="202" t="s">
        <v>1554</v>
      </c>
      <c r="J295" s="109" t="str">
        <f t="shared" si="24"/>
        <v>A</v>
      </c>
      <c r="K295" s="109" t="s">
        <v>1607</v>
      </c>
      <c r="L295" s="110">
        <f t="shared" ca="1" si="25"/>
        <v>46077</v>
      </c>
    </row>
    <row r="296" spans="1:12" outlineLevel="2" x14ac:dyDescent="0.2">
      <c r="A296" s="122" t="s">
        <v>1344</v>
      </c>
      <c r="B296" s="155" t="s">
        <v>1308</v>
      </c>
      <c r="C296" s="156"/>
      <c r="D296" s="157">
        <v>1</v>
      </c>
      <c r="E296" s="69"/>
      <c r="F296" s="174"/>
      <c r="G296" s="175"/>
      <c r="H296" s="107"/>
      <c r="I296" s="202" t="s">
        <v>1553</v>
      </c>
      <c r="J296" s="109" t="str">
        <f t="shared" si="24"/>
        <v>A</v>
      </c>
      <c r="K296" s="109" t="s">
        <v>1608</v>
      </c>
      <c r="L296" s="110">
        <f t="shared" ca="1" si="25"/>
        <v>46077</v>
      </c>
    </row>
    <row r="297" spans="1:12" outlineLevel="2" x14ac:dyDescent="0.2">
      <c r="A297" s="122" t="s">
        <v>1345</v>
      </c>
      <c r="B297" s="155" t="s">
        <v>1309</v>
      </c>
      <c r="C297" s="156"/>
      <c r="D297" s="157">
        <v>1</v>
      </c>
      <c r="E297" s="69"/>
      <c r="F297" s="174"/>
      <c r="G297" s="175"/>
      <c r="H297" s="107"/>
      <c r="I297" s="202" t="s">
        <v>1553</v>
      </c>
      <c r="J297" s="109" t="str">
        <f t="shared" si="24"/>
        <v>A</v>
      </c>
      <c r="K297" s="109" t="s">
        <v>1609</v>
      </c>
      <c r="L297" s="110">
        <f t="shared" ca="1" si="25"/>
        <v>46077</v>
      </c>
    </row>
    <row r="298" spans="1:12" outlineLevel="2" x14ac:dyDescent="0.2">
      <c r="A298" s="122" t="s">
        <v>1346</v>
      </c>
      <c r="B298" s="155" t="s">
        <v>1310</v>
      </c>
      <c r="C298" s="156"/>
      <c r="D298" s="157">
        <v>1</v>
      </c>
      <c r="E298" s="69"/>
      <c r="F298" s="174"/>
      <c r="G298" s="175"/>
      <c r="H298" s="107"/>
      <c r="I298" s="202" t="s">
        <v>1554</v>
      </c>
      <c r="J298" s="109" t="str">
        <f t="shared" si="24"/>
        <v>A</v>
      </c>
      <c r="K298" s="109" t="s">
        <v>1610</v>
      </c>
      <c r="L298" s="110">
        <f t="shared" ca="1" si="25"/>
        <v>46077</v>
      </c>
    </row>
    <row r="299" spans="1:12" outlineLevel="2" x14ac:dyDescent="0.2">
      <c r="A299" s="122" t="s">
        <v>1347</v>
      </c>
      <c r="B299" s="155" t="s">
        <v>1318</v>
      </c>
      <c r="C299" s="156"/>
      <c r="D299" s="157">
        <v>2</v>
      </c>
      <c r="E299" s="69"/>
      <c r="F299" s="174"/>
      <c r="G299" s="175"/>
      <c r="H299" s="107"/>
      <c r="I299" s="202" t="s">
        <v>1556</v>
      </c>
      <c r="J299" s="109" t="str">
        <f t="shared" si="24"/>
        <v>A</v>
      </c>
      <c r="K299" s="109" t="s">
        <v>1611</v>
      </c>
      <c r="L299" s="110">
        <f t="shared" ca="1" si="25"/>
        <v>46077</v>
      </c>
    </row>
    <row r="300" spans="1:12" outlineLevel="2" x14ac:dyDescent="0.2">
      <c r="A300" s="122" t="s">
        <v>1348</v>
      </c>
      <c r="B300" s="155" t="s">
        <v>1311</v>
      </c>
      <c r="C300" s="156"/>
      <c r="D300" s="157">
        <v>1</v>
      </c>
      <c r="E300" s="69"/>
      <c r="F300" s="174"/>
      <c r="G300" s="175"/>
      <c r="H300" s="107"/>
      <c r="I300" s="202" t="s">
        <v>1553</v>
      </c>
      <c r="J300" s="109" t="str">
        <f t="shared" si="24"/>
        <v>A</v>
      </c>
      <c r="K300" s="109" t="s">
        <v>1612</v>
      </c>
      <c r="L300" s="110">
        <f t="shared" ca="1" si="25"/>
        <v>46077</v>
      </c>
    </row>
    <row r="301" spans="1:12" outlineLevel="2" x14ac:dyDescent="0.2">
      <c r="A301" s="122" t="s">
        <v>1349</v>
      </c>
      <c r="B301" s="155" t="s">
        <v>1312</v>
      </c>
      <c r="C301" s="156"/>
      <c r="D301" s="157">
        <v>1</v>
      </c>
      <c r="E301" s="69"/>
      <c r="F301" s="174"/>
      <c r="G301" s="175"/>
      <c r="H301" s="107"/>
      <c r="I301" s="202" t="s">
        <v>1553</v>
      </c>
      <c r="J301" s="109" t="str">
        <f t="shared" si="24"/>
        <v>A</v>
      </c>
      <c r="K301" s="109" t="s">
        <v>1613</v>
      </c>
      <c r="L301" s="110">
        <f t="shared" ca="1" si="25"/>
        <v>46077</v>
      </c>
    </row>
    <row r="302" spans="1:12" outlineLevel="2" x14ac:dyDescent="0.2">
      <c r="A302" s="122" t="s">
        <v>1350</v>
      </c>
      <c r="B302" s="155" t="s">
        <v>1317</v>
      </c>
      <c r="C302" s="156"/>
      <c r="D302" s="157">
        <v>1</v>
      </c>
      <c r="E302" s="69"/>
      <c r="F302" s="174"/>
      <c r="G302" s="175"/>
      <c r="H302" s="107"/>
      <c r="I302" s="202" t="s">
        <v>1553</v>
      </c>
      <c r="J302" s="109" t="str">
        <f t="shared" si="24"/>
        <v>A</v>
      </c>
      <c r="K302" s="109" t="s">
        <v>1614</v>
      </c>
      <c r="L302" s="110">
        <f t="shared" ca="1" si="25"/>
        <v>46077</v>
      </c>
    </row>
    <row r="303" spans="1:12" outlineLevel="2" x14ac:dyDescent="0.2">
      <c r="A303" s="122" t="s">
        <v>1351</v>
      </c>
      <c r="B303" s="155" t="s">
        <v>1358</v>
      </c>
      <c r="C303" s="156"/>
      <c r="D303" s="157">
        <v>1</v>
      </c>
      <c r="E303" s="69"/>
      <c r="F303" s="174"/>
      <c r="G303" s="175"/>
      <c r="H303" s="107"/>
      <c r="I303" s="202" t="s">
        <v>1552</v>
      </c>
      <c r="J303" s="109" t="str">
        <f t="shared" si="24"/>
        <v>A</v>
      </c>
      <c r="K303" s="109" t="s">
        <v>1615</v>
      </c>
      <c r="L303" s="110">
        <f t="shared" ca="1" si="25"/>
        <v>46077</v>
      </c>
    </row>
    <row r="304" spans="1:12" outlineLevel="2" x14ac:dyDescent="0.2">
      <c r="A304" s="122" t="s">
        <v>1352</v>
      </c>
      <c r="B304" s="155" t="s">
        <v>1359</v>
      </c>
      <c r="C304" s="156"/>
      <c r="D304" s="157">
        <v>1</v>
      </c>
      <c r="E304" s="69"/>
      <c r="F304" s="174"/>
      <c r="G304" s="175"/>
      <c r="H304" s="107"/>
      <c r="I304" s="202" t="s">
        <v>1552</v>
      </c>
      <c r="J304" s="109" t="str">
        <f t="shared" si="24"/>
        <v>A</v>
      </c>
      <c r="K304" s="109" t="s">
        <v>1616</v>
      </c>
      <c r="L304" s="110">
        <f t="shared" ca="1" si="25"/>
        <v>46077</v>
      </c>
    </row>
    <row r="305" spans="1:12" outlineLevel="2" x14ac:dyDescent="0.2">
      <c r="A305" s="122" t="s">
        <v>1353</v>
      </c>
      <c r="B305" s="155" t="s">
        <v>1315</v>
      </c>
      <c r="C305" s="156"/>
      <c r="D305" s="157">
        <v>1</v>
      </c>
      <c r="E305" s="69"/>
      <c r="F305" s="174"/>
      <c r="G305" s="175"/>
      <c r="H305" s="107"/>
      <c r="I305" s="202" t="s">
        <v>1554</v>
      </c>
      <c r="J305" s="109" t="str">
        <f t="shared" si="24"/>
        <v>A</v>
      </c>
      <c r="K305" s="109" t="s">
        <v>1617</v>
      </c>
      <c r="L305" s="110">
        <f t="shared" ca="1" si="25"/>
        <v>46077</v>
      </c>
    </row>
    <row r="306" spans="1:12" outlineLevel="2" x14ac:dyDescent="0.2">
      <c r="A306" s="122" t="s">
        <v>1354</v>
      </c>
      <c r="B306" s="155" t="s">
        <v>1316</v>
      </c>
      <c r="C306" s="156"/>
      <c r="D306" s="157">
        <v>1</v>
      </c>
      <c r="E306" s="69"/>
      <c r="F306" s="174"/>
      <c r="G306" s="175"/>
      <c r="H306" s="107"/>
      <c r="I306" s="202" t="s">
        <v>1554</v>
      </c>
      <c r="J306" s="109" t="str">
        <f t="shared" si="24"/>
        <v>A</v>
      </c>
      <c r="K306" s="109" t="s">
        <v>1618</v>
      </c>
      <c r="L306" s="110">
        <f t="shared" ca="1" si="25"/>
        <v>46077</v>
      </c>
    </row>
    <row r="307" spans="1:12" outlineLevel="2" x14ac:dyDescent="0.2">
      <c r="A307" s="145"/>
      <c r="B307" s="155" t="s">
        <v>670</v>
      </c>
      <c r="C307" s="155" t="s">
        <v>674</v>
      </c>
      <c r="D307" s="176">
        <v>3</v>
      </c>
      <c r="E307" s="69"/>
      <c r="F307" s="174"/>
      <c r="G307" s="175"/>
      <c r="H307" s="107"/>
      <c r="I307" s="202"/>
      <c r="J307" s="109" t="str">
        <f t="shared" si="22"/>
        <v/>
      </c>
      <c r="K307" s="109" t="s">
        <v>1768</v>
      </c>
      <c r="L307" s="110" t="str">
        <f t="shared" ca="1" si="23"/>
        <v/>
      </c>
    </row>
    <row r="308" spans="1:12" outlineLevel="2" x14ac:dyDescent="0.2">
      <c r="A308" s="145"/>
      <c r="B308" s="155" t="s">
        <v>671</v>
      </c>
      <c r="C308" s="155" t="s">
        <v>675</v>
      </c>
      <c r="D308" s="176">
        <v>1</v>
      </c>
      <c r="E308" s="69"/>
      <c r="F308" s="174"/>
      <c r="G308" s="175"/>
      <c r="H308" s="107"/>
      <c r="I308" s="202"/>
      <c r="J308" s="109" t="str">
        <f t="shared" si="22"/>
        <v/>
      </c>
      <c r="K308" s="109" t="s">
        <v>1768</v>
      </c>
      <c r="L308" s="110" t="str">
        <f t="shared" ca="1" si="23"/>
        <v/>
      </c>
    </row>
    <row r="309" spans="1:12" ht="13.5" outlineLevel="2" thickBot="1" x14ac:dyDescent="0.25">
      <c r="A309" s="189"/>
      <c r="B309" s="165" t="s">
        <v>672</v>
      </c>
      <c r="C309" s="165" t="s">
        <v>676</v>
      </c>
      <c r="D309" s="177">
        <v>3</v>
      </c>
      <c r="E309" s="81"/>
      <c r="F309" s="178"/>
      <c r="G309" s="179"/>
      <c r="H309" s="108"/>
      <c r="I309" s="205"/>
      <c r="J309" s="129" t="str">
        <f t="shared" si="22"/>
        <v/>
      </c>
      <c r="K309" s="129" t="s">
        <v>1768</v>
      </c>
      <c r="L309" s="130" t="str">
        <f t="shared" ca="1" si="23"/>
        <v/>
      </c>
    </row>
    <row r="310" spans="1:12" ht="13.5" outlineLevel="2" thickBot="1" x14ac:dyDescent="0.25">
      <c r="A310" s="140"/>
      <c r="B310" s="126"/>
      <c r="C310" s="152"/>
      <c r="D310" s="149"/>
      <c r="E310" s="229"/>
      <c r="F310" s="230"/>
      <c r="G310" s="231"/>
      <c r="H310" s="222"/>
      <c r="I310" s="223"/>
      <c r="J310" s="224" t="str">
        <f t="shared" si="22"/>
        <v/>
      </c>
      <c r="K310" s="224" t="s">
        <v>1768</v>
      </c>
      <c r="L310" s="225" t="str">
        <f t="shared" ca="1" si="23"/>
        <v/>
      </c>
    </row>
    <row r="311" spans="1:12" outlineLevel="2" x14ac:dyDescent="0.2">
      <c r="A311" s="352">
        <v>10</v>
      </c>
      <c r="B311" s="370" t="s">
        <v>255</v>
      </c>
      <c r="C311" s="371" t="s">
        <v>256</v>
      </c>
      <c r="D311" s="372">
        <f>F312</f>
        <v>1</v>
      </c>
      <c r="E311" s="383">
        <v>4714876.32</v>
      </c>
      <c r="F311" s="232">
        <v>4714876.32</v>
      </c>
      <c r="G311" s="228"/>
      <c r="H311" s="384" t="s">
        <v>464</v>
      </c>
      <c r="I311" s="204"/>
      <c r="J311" s="131" t="str">
        <f t="shared" si="22"/>
        <v/>
      </c>
      <c r="K311" s="131" t="s">
        <v>1768</v>
      </c>
      <c r="L311" s="132" t="str">
        <f t="shared" ca="1" si="23"/>
        <v/>
      </c>
    </row>
    <row r="312" spans="1:12" outlineLevel="2" x14ac:dyDescent="0.2">
      <c r="A312" s="353"/>
      <c r="B312" s="363"/>
      <c r="C312" s="364"/>
      <c r="D312" s="373"/>
      <c r="E312" s="375">
        <v>1</v>
      </c>
      <c r="F312" s="174">
        <v>1</v>
      </c>
      <c r="G312" s="175"/>
      <c r="H312" s="382"/>
      <c r="I312" s="202"/>
      <c r="J312" s="109" t="str">
        <f t="shared" si="22"/>
        <v/>
      </c>
      <c r="K312" s="109" t="s">
        <v>1768</v>
      </c>
      <c r="L312" s="110" t="str">
        <f t="shared" ca="1" si="23"/>
        <v/>
      </c>
    </row>
    <row r="313" spans="1:12" outlineLevel="2" x14ac:dyDescent="0.2">
      <c r="A313" s="122" t="s">
        <v>1665</v>
      </c>
      <c r="B313" s="155" t="s">
        <v>677</v>
      </c>
      <c r="C313" s="155" t="s">
        <v>732</v>
      </c>
      <c r="D313" s="176">
        <v>1</v>
      </c>
      <c r="E313" s="69"/>
      <c r="F313" s="174"/>
      <c r="G313" s="175"/>
      <c r="H313" s="107"/>
      <c r="I313" s="202"/>
      <c r="J313" s="109" t="str">
        <f t="shared" si="22"/>
        <v/>
      </c>
      <c r="K313" s="109" t="s">
        <v>1768</v>
      </c>
      <c r="L313" s="110" t="str">
        <f t="shared" ca="1" si="23"/>
        <v/>
      </c>
    </row>
    <row r="314" spans="1:12" outlineLevel="2" x14ac:dyDescent="0.2">
      <c r="A314" s="122" t="s">
        <v>1666</v>
      </c>
      <c r="B314" s="155" t="s">
        <v>678</v>
      </c>
      <c r="C314" s="155" t="s">
        <v>733</v>
      </c>
      <c r="D314" s="176">
        <v>19</v>
      </c>
      <c r="E314" s="69"/>
      <c r="F314" s="174"/>
      <c r="G314" s="175"/>
      <c r="H314" s="107"/>
      <c r="I314" s="202"/>
      <c r="J314" s="109" t="str">
        <f t="shared" si="22"/>
        <v/>
      </c>
      <c r="K314" s="109" t="s">
        <v>1768</v>
      </c>
      <c r="L314" s="110" t="str">
        <f t="shared" ca="1" si="23"/>
        <v/>
      </c>
    </row>
    <row r="315" spans="1:12" ht="25.5" outlineLevel="2" x14ac:dyDescent="0.2">
      <c r="A315" s="122" t="s">
        <v>1667</v>
      </c>
      <c r="B315" s="190" t="s">
        <v>942</v>
      </c>
      <c r="C315" s="155" t="s">
        <v>734</v>
      </c>
      <c r="D315" s="176">
        <v>1</v>
      </c>
      <c r="E315" s="69"/>
      <c r="F315" s="174"/>
      <c r="G315" s="175"/>
      <c r="H315" s="107"/>
      <c r="I315" s="202"/>
      <c r="J315" s="109" t="str">
        <f t="shared" si="22"/>
        <v/>
      </c>
      <c r="K315" s="109" t="s">
        <v>1768</v>
      </c>
      <c r="L315" s="110" t="str">
        <f t="shared" ca="1" si="23"/>
        <v/>
      </c>
    </row>
    <row r="316" spans="1:12" outlineLevel="2" x14ac:dyDescent="0.2">
      <c r="A316" s="122" t="s">
        <v>1668</v>
      </c>
      <c r="B316" s="155" t="s">
        <v>679</v>
      </c>
      <c r="C316" s="155" t="s">
        <v>735</v>
      </c>
      <c r="D316" s="176">
        <v>1</v>
      </c>
      <c r="E316" s="69"/>
      <c r="F316" s="174"/>
      <c r="G316" s="175"/>
      <c r="H316" s="107"/>
      <c r="I316" s="202"/>
      <c r="J316" s="109" t="str">
        <f t="shared" si="22"/>
        <v/>
      </c>
      <c r="K316" s="109" t="s">
        <v>1768</v>
      </c>
      <c r="L316" s="110" t="str">
        <f t="shared" ca="1" si="23"/>
        <v/>
      </c>
    </row>
    <row r="317" spans="1:12" ht="25.5" outlineLevel="2" x14ac:dyDescent="0.2">
      <c r="A317" s="122" t="s">
        <v>1669</v>
      </c>
      <c r="B317" s="190" t="s">
        <v>943</v>
      </c>
      <c r="C317" s="155" t="s">
        <v>736</v>
      </c>
      <c r="D317" s="176">
        <v>1</v>
      </c>
      <c r="E317" s="69"/>
      <c r="F317" s="174"/>
      <c r="G317" s="175"/>
      <c r="H317" s="107"/>
      <c r="I317" s="202"/>
      <c r="J317" s="109" t="str">
        <f t="shared" si="22"/>
        <v/>
      </c>
      <c r="K317" s="109" t="s">
        <v>1768</v>
      </c>
      <c r="L317" s="110" t="str">
        <f t="shared" ca="1" si="23"/>
        <v/>
      </c>
    </row>
    <row r="318" spans="1:12" outlineLevel="2" x14ac:dyDescent="0.2">
      <c r="A318" s="122" t="s">
        <v>1670</v>
      </c>
      <c r="B318" s="155" t="s">
        <v>680</v>
      </c>
      <c r="C318" s="155" t="s">
        <v>737</v>
      </c>
      <c r="D318" s="176">
        <v>6</v>
      </c>
      <c r="E318" s="69"/>
      <c r="F318" s="174"/>
      <c r="G318" s="175"/>
      <c r="H318" s="107"/>
      <c r="I318" s="202"/>
      <c r="J318" s="109" t="str">
        <f t="shared" si="22"/>
        <v/>
      </c>
      <c r="K318" s="109" t="s">
        <v>1768</v>
      </c>
      <c r="L318" s="110" t="str">
        <f t="shared" ca="1" si="23"/>
        <v/>
      </c>
    </row>
    <row r="319" spans="1:12" outlineLevel="2" x14ac:dyDescent="0.2">
      <c r="A319" s="122" t="s">
        <v>1671</v>
      </c>
      <c r="B319" s="155" t="s">
        <v>681</v>
      </c>
      <c r="C319" s="155" t="s">
        <v>738</v>
      </c>
      <c r="D319" s="176">
        <v>6</v>
      </c>
      <c r="E319" s="69"/>
      <c r="F319" s="174"/>
      <c r="G319" s="175"/>
      <c r="H319" s="107"/>
      <c r="I319" s="202"/>
      <c r="J319" s="109" t="str">
        <f t="shared" si="22"/>
        <v/>
      </c>
      <c r="K319" s="109" t="s">
        <v>1768</v>
      </c>
      <c r="L319" s="110" t="str">
        <f t="shared" ca="1" si="23"/>
        <v/>
      </c>
    </row>
    <row r="320" spans="1:12" outlineLevel="2" x14ac:dyDescent="0.2">
      <c r="A320" s="122" t="s">
        <v>1672</v>
      </c>
      <c r="B320" s="155" t="s">
        <v>682</v>
      </c>
      <c r="C320" s="155" t="s">
        <v>739</v>
      </c>
      <c r="D320" s="176">
        <v>1</v>
      </c>
      <c r="E320" s="69"/>
      <c r="F320" s="174"/>
      <c r="G320" s="175"/>
      <c r="H320" s="107"/>
      <c r="I320" s="202"/>
      <c r="J320" s="109" t="str">
        <f t="shared" si="22"/>
        <v/>
      </c>
      <c r="K320" s="109" t="s">
        <v>1768</v>
      </c>
      <c r="L320" s="110" t="str">
        <f t="shared" ca="1" si="23"/>
        <v/>
      </c>
    </row>
    <row r="321" spans="1:12" outlineLevel="2" x14ac:dyDescent="0.2">
      <c r="A321" s="122" t="s">
        <v>1673</v>
      </c>
      <c r="B321" s="155" t="s">
        <v>683</v>
      </c>
      <c r="C321" s="155" t="s">
        <v>740</v>
      </c>
      <c r="D321" s="176">
        <v>1</v>
      </c>
      <c r="E321" s="69"/>
      <c r="F321" s="174"/>
      <c r="G321" s="175"/>
      <c r="H321" s="107"/>
      <c r="I321" s="202"/>
      <c r="J321" s="109" t="str">
        <f t="shared" si="22"/>
        <v/>
      </c>
      <c r="K321" s="109" t="s">
        <v>1768</v>
      </c>
      <c r="L321" s="110" t="str">
        <f t="shared" ca="1" si="23"/>
        <v/>
      </c>
    </row>
    <row r="322" spans="1:12" ht="25.5" outlineLevel="2" x14ac:dyDescent="0.2">
      <c r="A322" s="122" t="s">
        <v>1674</v>
      </c>
      <c r="B322" s="190" t="s">
        <v>1145</v>
      </c>
      <c r="C322" s="155" t="s">
        <v>741</v>
      </c>
      <c r="D322" s="176">
        <v>1</v>
      </c>
      <c r="E322" s="69"/>
      <c r="F322" s="174"/>
      <c r="G322" s="175"/>
      <c r="H322" s="107"/>
      <c r="I322" s="202"/>
      <c r="J322" s="109" t="str">
        <f t="shared" si="22"/>
        <v/>
      </c>
      <c r="K322" s="109" t="s">
        <v>1768</v>
      </c>
      <c r="L322" s="110" t="str">
        <f t="shared" ca="1" si="23"/>
        <v/>
      </c>
    </row>
    <row r="323" spans="1:12" outlineLevel="2" x14ac:dyDescent="0.2">
      <c r="A323" s="122" t="s">
        <v>1675</v>
      </c>
      <c r="B323" s="155" t="s">
        <v>684</v>
      </c>
      <c r="C323" s="155" t="s">
        <v>742</v>
      </c>
      <c r="D323" s="176">
        <v>6</v>
      </c>
      <c r="E323" s="69"/>
      <c r="F323" s="174"/>
      <c r="G323" s="175"/>
      <c r="H323" s="107"/>
      <c r="I323" s="202"/>
      <c r="J323" s="109" t="str">
        <f t="shared" si="22"/>
        <v/>
      </c>
      <c r="K323" s="109" t="s">
        <v>1768</v>
      </c>
      <c r="L323" s="110" t="str">
        <f t="shared" ca="1" si="23"/>
        <v/>
      </c>
    </row>
    <row r="324" spans="1:12" outlineLevel="2" x14ac:dyDescent="0.2">
      <c r="A324" s="122" t="s">
        <v>1676</v>
      </c>
      <c r="B324" s="155" t="s">
        <v>944</v>
      </c>
      <c r="C324" s="155" t="s">
        <v>743</v>
      </c>
      <c r="D324" s="176">
        <v>6</v>
      </c>
      <c r="E324" s="69"/>
      <c r="F324" s="174"/>
      <c r="G324" s="175"/>
      <c r="H324" s="107"/>
      <c r="I324" s="202"/>
      <c r="J324" s="109" t="str">
        <f t="shared" si="22"/>
        <v/>
      </c>
      <c r="K324" s="109" t="s">
        <v>1768</v>
      </c>
      <c r="L324" s="110" t="str">
        <f t="shared" ca="1" si="23"/>
        <v/>
      </c>
    </row>
    <row r="325" spans="1:12" outlineLevel="2" x14ac:dyDescent="0.2">
      <c r="A325" s="122" t="s">
        <v>1677</v>
      </c>
      <c r="B325" s="155" t="s">
        <v>685</v>
      </c>
      <c r="C325" s="155" t="s">
        <v>744</v>
      </c>
      <c r="D325" s="176">
        <v>6</v>
      </c>
      <c r="E325" s="69"/>
      <c r="F325" s="174"/>
      <c r="G325" s="175"/>
      <c r="H325" s="107"/>
      <c r="I325" s="202"/>
      <c r="J325" s="109" t="str">
        <f t="shared" si="22"/>
        <v/>
      </c>
      <c r="K325" s="109" t="s">
        <v>1768</v>
      </c>
      <c r="L325" s="110" t="str">
        <f t="shared" ca="1" si="23"/>
        <v/>
      </c>
    </row>
    <row r="326" spans="1:12" outlineLevel="2" x14ac:dyDescent="0.2">
      <c r="A326" s="122" t="s">
        <v>1678</v>
      </c>
      <c r="B326" s="155" t="s">
        <v>945</v>
      </c>
      <c r="C326" s="155" t="s">
        <v>745</v>
      </c>
      <c r="D326" s="176">
        <v>3</v>
      </c>
      <c r="E326" s="69"/>
      <c r="F326" s="174"/>
      <c r="G326" s="175"/>
      <c r="H326" s="107"/>
      <c r="I326" s="202"/>
      <c r="J326" s="109" t="str">
        <f t="shared" si="22"/>
        <v/>
      </c>
      <c r="K326" s="109" t="s">
        <v>1768</v>
      </c>
      <c r="L326" s="110" t="str">
        <f t="shared" ca="1" si="23"/>
        <v/>
      </c>
    </row>
    <row r="327" spans="1:12" outlineLevel="2" x14ac:dyDescent="0.2">
      <c r="A327" s="122" t="s">
        <v>1679</v>
      </c>
      <c r="B327" s="155" t="s">
        <v>686</v>
      </c>
      <c r="C327" s="155" t="s">
        <v>746</v>
      </c>
      <c r="D327" s="176">
        <v>2</v>
      </c>
      <c r="E327" s="69"/>
      <c r="F327" s="174"/>
      <c r="G327" s="175"/>
      <c r="H327" s="107"/>
      <c r="I327" s="202"/>
      <c r="J327" s="109" t="str">
        <f t="shared" si="22"/>
        <v/>
      </c>
      <c r="K327" s="109" t="s">
        <v>1768</v>
      </c>
      <c r="L327" s="110" t="str">
        <f t="shared" ca="1" si="23"/>
        <v/>
      </c>
    </row>
    <row r="328" spans="1:12" outlineLevel="2" x14ac:dyDescent="0.2">
      <c r="A328" s="122" t="s">
        <v>1680</v>
      </c>
      <c r="B328" s="155" t="s">
        <v>687</v>
      </c>
      <c r="C328" s="155" t="s">
        <v>747</v>
      </c>
      <c r="D328" s="176">
        <v>12</v>
      </c>
      <c r="E328" s="69"/>
      <c r="F328" s="174"/>
      <c r="G328" s="175"/>
      <c r="H328" s="107"/>
      <c r="I328" s="202"/>
      <c r="J328" s="109" t="str">
        <f t="shared" si="22"/>
        <v/>
      </c>
      <c r="K328" s="109" t="s">
        <v>1768</v>
      </c>
      <c r="L328" s="110" t="str">
        <f t="shared" ca="1" si="23"/>
        <v/>
      </c>
    </row>
    <row r="329" spans="1:12" outlineLevel="2" x14ac:dyDescent="0.2">
      <c r="A329" s="122" t="s">
        <v>1681</v>
      </c>
      <c r="B329" s="155" t="s">
        <v>688</v>
      </c>
      <c r="C329" s="155" t="s">
        <v>748</v>
      </c>
      <c r="D329" s="176">
        <v>29</v>
      </c>
      <c r="E329" s="69"/>
      <c r="F329" s="174"/>
      <c r="G329" s="175"/>
      <c r="H329" s="107"/>
      <c r="I329" s="202"/>
      <c r="J329" s="109" t="str">
        <f t="shared" si="22"/>
        <v/>
      </c>
      <c r="K329" s="109" t="s">
        <v>1768</v>
      </c>
      <c r="L329" s="110" t="str">
        <f t="shared" ca="1" si="23"/>
        <v/>
      </c>
    </row>
    <row r="330" spans="1:12" outlineLevel="2" x14ac:dyDescent="0.2">
      <c r="A330" s="122" t="s">
        <v>1682</v>
      </c>
      <c r="B330" s="155" t="s">
        <v>689</v>
      </c>
      <c r="C330" s="155" t="s">
        <v>749</v>
      </c>
      <c r="D330" s="176">
        <v>2</v>
      </c>
      <c r="E330" s="69"/>
      <c r="F330" s="174"/>
      <c r="G330" s="175"/>
      <c r="H330" s="107"/>
      <c r="I330" s="202"/>
      <c r="J330" s="109" t="str">
        <f t="shared" si="22"/>
        <v/>
      </c>
      <c r="K330" s="109" t="s">
        <v>1768</v>
      </c>
      <c r="L330" s="110" t="str">
        <f t="shared" ca="1" si="23"/>
        <v/>
      </c>
    </row>
    <row r="331" spans="1:12" outlineLevel="2" x14ac:dyDescent="0.2">
      <c r="A331" s="122" t="s">
        <v>1683</v>
      </c>
      <c r="B331" s="155" t="s">
        <v>690</v>
      </c>
      <c r="C331" s="155" t="s">
        <v>750</v>
      </c>
      <c r="D331" s="176">
        <v>4</v>
      </c>
      <c r="E331" s="69"/>
      <c r="F331" s="174"/>
      <c r="G331" s="175"/>
      <c r="H331" s="107"/>
      <c r="I331" s="202"/>
      <c r="J331" s="109" t="str">
        <f t="shared" si="22"/>
        <v/>
      </c>
      <c r="K331" s="109" t="s">
        <v>1768</v>
      </c>
      <c r="L331" s="110" t="str">
        <f t="shared" ca="1" si="23"/>
        <v/>
      </c>
    </row>
    <row r="332" spans="1:12" outlineLevel="2" x14ac:dyDescent="0.2">
      <c r="A332" s="122" t="s">
        <v>1684</v>
      </c>
      <c r="B332" s="155" t="s">
        <v>691</v>
      </c>
      <c r="C332" s="155" t="s">
        <v>751</v>
      </c>
      <c r="D332" s="176">
        <v>29</v>
      </c>
      <c r="E332" s="69"/>
      <c r="F332" s="174"/>
      <c r="G332" s="175"/>
      <c r="H332" s="107"/>
      <c r="I332" s="202"/>
      <c r="J332" s="109" t="str">
        <f t="shared" si="22"/>
        <v/>
      </c>
      <c r="K332" s="109" t="s">
        <v>1768</v>
      </c>
      <c r="L332" s="110" t="str">
        <f t="shared" ca="1" si="23"/>
        <v/>
      </c>
    </row>
    <row r="333" spans="1:12" outlineLevel="2" x14ac:dyDescent="0.2">
      <c r="A333" s="122" t="s">
        <v>1685</v>
      </c>
      <c r="B333" s="155" t="s">
        <v>692</v>
      </c>
      <c r="C333" s="155" t="s">
        <v>752</v>
      </c>
      <c r="D333" s="176">
        <v>6</v>
      </c>
      <c r="E333" s="69"/>
      <c r="F333" s="174"/>
      <c r="G333" s="175"/>
      <c r="H333" s="107"/>
      <c r="I333" s="202"/>
      <c r="J333" s="109" t="str">
        <f t="shared" si="22"/>
        <v/>
      </c>
      <c r="K333" s="109" t="s">
        <v>1768</v>
      </c>
      <c r="L333" s="110" t="str">
        <f t="shared" ca="1" si="23"/>
        <v/>
      </c>
    </row>
    <row r="334" spans="1:12" outlineLevel="2" x14ac:dyDescent="0.2">
      <c r="A334" s="122" t="s">
        <v>1686</v>
      </c>
      <c r="B334" s="155" t="s">
        <v>693</v>
      </c>
      <c r="C334" s="155" t="s">
        <v>753</v>
      </c>
      <c r="D334" s="176">
        <v>18</v>
      </c>
      <c r="E334" s="69"/>
      <c r="F334" s="174"/>
      <c r="G334" s="175"/>
      <c r="H334" s="107"/>
      <c r="I334" s="202"/>
      <c r="J334" s="109" t="str">
        <f t="shared" si="22"/>
        <v/>
      </c>
      <c r="K334" s="109" t="s">
        <v>1768</v>
      </c>
      <c r="L334" s="110" t="str">
        <f t="shared" ca="1" si="23"/>
        <v/>
      </c>
    </row>
    <row r="335" spans="1:12" outlineLevel="2" x14ac:dyDescent="0.2">
      <c r="A335" s="122" t="s">
        <v>1687</v>
      </c>
      <c r="B335" s="155" t="s">
        <v>694</v>
      </c>
      <c r="C335" s="155" t="s">
        <v>754</v>
      </c>
      <c r="D335" s="176">
        <v>3</v>
      </c>
      <c r="E335" s="69"/>
      <c r="F335" s="174"/>
      <c r="G335" s="175"/>
      <c r="H335" s="107"/>
      <c r="I335" s="202"/>
      <c r="J335" s="109" t="str">
        <f t="shared" si="22"/>
        <v/>
      </c>
      <c r="K335" s="109" t="s">
        <v>1768</v>
      </c>
      <c r="L335" s="110" t="str">
        <f t="shared" ca="1" si="23"/>
        <v/>
      </c>
    </row>
    <row r="336" spans="1:12" outlineLevel="2" x14ac:dyDescent="0.2">
      <c r="A336" s="122" t="s">
        <v>1688</v>
      </c>
      <c r="B336" s="155" t="s">
        <v>695</v>
      </c>
      <c r="C336" s="155" t="s">
        <v>755</v>
      </c>
      <c r="D336" s="176">
        <v>2</v>
      </c>
      <c r="E336" s="69"/>
      <c r="F336" s="174"/>
      <c r="G336" s="175"/>
      <c r="H336" s="107"/>
      <c r="I336" s="202"/>
      <c r="J336" s="109" t="str">
        <f t="shared" si="22"/>
        <v/>
      </c>
      <c r="K336" s="109" t="s">
        <v>1768</v>
      </c>
      <c r="L336" s="110" t="str">
        <f t="shared" ca="1" si="23"/>
        <v/>
      </c>
    </row>
    <row r="337" spans="1:12" outlineLevel="2" x14ac:dyDescent="0.2">
      <c r="A337" s="122" t="s">
        <v>1689</v>
      </c>
      <c r="B337" s="155" t="s">
        <v>696</v>
      </c>
      <c r="C337" s="155" t="s">
        <v>756</v>
      </c>
      <c r="D337" s="176">
        <v>1</v>
      </c>
      <c r="E337" s="69"/>
      <c r="F337" s="174"/>
      <c r="G337" s="175"/>
      <c r="H337" s="107"/>
      <c r="I337" s="202"/>
      <c r="J337" s="109" t="str">
        <f t="shared" si="22"/>
        <v/>
      </c>
      <c r="K337" s="109" t="s">
        <v>1768</v>
      </c>
      <c r="L337" s="110" t="str">
        <f t="shared" ca="1" si="23"/>
        <v/>
      </c>
    </row>
    <row r="338" spans="1:12" outlineLevel="2" x14ac:dyDescent="0.2">
      <c r="A338" s="122" t="s">
        <v>1690</v>
      </c>
      <c r="B338" s="155" t="s">
        <v>697</v>
      </c>
      <c r="C338" s="155" t="s">
        <v>757</v>
      </c>
      <c r="D338" s="176">
        <v>2</v>
      </c>
      <c r="E338" s="69"/>
      <c r="F338" s="174"/>
      <c r="G338" s="175"/>
      <c r="H338" s="107"/>
      <c r="I338" s="202"/>
      <c r="J338" s="109" t="str">
        <f t="shared" si="22"/>
        <v/>
      </c>
      <c r="K338" s="109" t="s">
        <v>1768</v>
      </c>
      <c r="L338" s="110" t="str">
        <f t="shared" ca="1" si="23"/>
        <v/>
      </c>
    </row>
    <row r="339" spans="1:12" outlineLevel="2" x14ac:dyDescent="0.2">
      <c r="A339" s="122" t="s">
        <v>1691</v>
      </c>
      <c r="B339" s="155" t="s">
        <v>698</v>
      </c>
      <c r="C339" s="155" t="s">
        <v>758</v>
      </c>
      <c r="D339" s="176">
        <v>3</v>
      </c>
      <c r="E339" s="69"/>
      <c r="F339" s="174"/>
      <c r="G339" s="175"/>
      <c r="H339" s="107"/>
      <c r="I339" s="202"/>
      <c r="J339" s="109" t="str">
        <f t="shared" si="22"/>
        <v/>
      </c>
      <c r="K339" s="109" t="s">
        <v>1768</v>
      </c>
      <c r="L339" s="110" t="str">
        <f t="shared" ca="1" si="23"/>
        <v/>
      </c>
    </row>
    <row r="340" spans="1:12" outlineLevel="2" x14ac:dyDescent="0.2">
      <c r="A340" s="122" t="s">
        <v>1692</v>
      </c>
      <c r="B340" s="155" t="s">
        <v>699</v>
      </c>
      <c r="C340" s="155" t="s">
        <v>759</v>
      </c>
      <c r="D340" s="176">
        <v>1</v>
      </c>
      <c r="E340" s="69"/>
      <c r="F340" s="174"/>
      <c r="G340" s="175"/>
      <c r="H340" s="107"/>
      <c r="I340" s="202"/>
      <c r="J340" s="109" t="str">
        <f t="shared" si="22"/>
        <v/>
      </c>
      <c r="K340" s="109" t="s">
        <v>1768</v>
      </c>
      <c r="L340" s="110" t="str">
        <f t="shared" ca="1" si="23"/>
        <v/>
      </c>
    </row>
    <row r="341" spans="1:12" outlineLevel="2" x14ac:dyDescent="0.2">
      <c r="A341" s="122" t="s">
        <v>1693</v>
      </c>
      <c r="B341" s="155" t="s">
        <v>946</v>
      </c>
      <c r="C341" s="155" t="s">
        <v>760</v>
      </c>
      <c r="D341" s="176">
        <v>1</v>
      </c>
      <c r="E341" s="69"/>
      <c r="F341" s="174"/>
      <c r="G341" s="175"/>
      <c r="H341" s="107"/>
      <c r="I341" s="202"/>
      <c r="J341" s="109" t="str">
        <f t="shared" si="22"/>
        <v/>
      </c>
      <c r="K341" s="109" t="s">
        <v>1768</v>
      </c>
      <c r="L341" s="110" t="str">
        <f t="shared" ca="1" si="23"/>
        <v/>
      </c>
    </row>
    <row r="342" spans="1:12" outlineLevel="2" x14ac:dyDescent="0.2">
      <c r="A342" s="122" t="s">
        <v>1694</v>
      </c>
      <c r="B342" s="155" t="s">
        <v>700</v>
      </c>
      <c r="C342" s="155" t="s">
        <v>761</v>
      </c>
      <c r="D342" s="176">
        <v>1</v>
      </c>
      <c r="E342" s="69"/>
      <c r="F342" s="174"/>
      <c r="G342" s="175"/>
      <c r="H342" s="107"/>
      <c r="I342" s="202"/>
      <c r="J342" s="109" t="str">
        <f t="shared" si="22"/>
        <v/>
      </c>
      <c r="K342" s="109" t="s">
        <v>1768</v>
      </c>
      <c r="L342" s="110" t="str">
        <f t="shared" ca="1" si="23"/>
        <v/>
      </c>
    </row>
    <row r="343" spans="1:12" outlineLevel="2" x14ac:dyDescent="0.2">
      <c r="A343" s="122" t="s">
        <v>1695</v>
      </c>
      <c r="B343" s="155" t="s">
        <v>701</v>
      </c>
      <c r="C343" s="155" t="s">
        <v>762</v>
      </c>
      <c r="D343" s="176">
        <v>1</v>
      </c>
      <c r="E343" s="69"/>
      <c r="F343" s="174"/>
      <c r="G343" s="175"/>
      <c r="H343" s="107"/>
      <c r="I343" s="202"/>
      <c r="J343" s="109" t="str">
        <f t="shared" si="22"/>
        <v/>
      </c>
      <c r="K343" s="109" t="s">
        <v>1768</v>
      </c>
      <c r="L343" s="110" t="str">
        <f t="shared" ca="1" si="23"/>
        <v/>
      </c>
    </row>
    <row r="344" spans="1:12" outlineLevel="2" x14ac:dyDescent="0.2">
      <c r="A344" s="122" t="s">
        <v>1696</v>
      </c>
      <c r="B344" s="155" t="s">
        <v>702</v>
      </c>
      <c r="C344" s="155" t="s">
        <v>763</v>
      </c>
      <c r="D344" s="176">
        <v>1</v>
      </c>
      <c r="E344" s="69"/>
      <c r="F344" s="174"/>
      <c r="G344" s="175"/>
      <c r="H344" s="107"/>
      <c r="I344" s="202"/>
      <c r="J344" s="109" t="str">
        <f t="shared" si="22"/>
        <v/>
      </c>
      <c r="K344" s="109" t="s">
        <v>1768</v>
      </c>
      <c r="L344" s="110" t="str">
        <f t="shared" ca="1" si="23"/>
        <v/>
      </c>
    </row>
    <row r="345" spans="1:12" outlineLevel="2" x14ac:dyDescent="0.2">
      <c r="A345" s="122" t="s">
        <v>1697</v>
      </c>
      <c r="B345" s="155" t="s">
        <v>703</v>
      </c>
      <c r="C345" s="155" t="s">
        <v>764</v>
      </c>
      <c r="D345" s="176">
        <v>1</v>
      </c>
      <c r="E345" s="69"/>
      <c r="F345" s="174"/>
      <c r="G345" s="175"/>
      <c r="H345" s="107"/>
      <c r="I345" s="202"/>
      <c r="J345" s="109" t="str">
        <f t="shared" si="22"/>
        <v/>
      </c>
      <c r="K345" s="109" t="s">
        <v>1768</v>
      </c>
      <c r="L345" s="110" t="str">
        <f t="shared" ca="1" si="23"/>
        <v/>
      </c>
    </row>
    <row r="346" spans="1:12" outlineLevel="2" x14ac:dyDescent="0.2">
      <c r="A346" s="122" t="s">
        <v>1698</v>
      </c>
      <c r="B346" s="155" t="s">
        <v>947</v>
      </c>
      <c r="C346" s="155" t="s">
        <v>765</v>
      </c>
      <c r="D346" s="176">
        <v>1</v>
      </c>
      <c r="E346" s="69"/>
      <c r="F346" s="174"/>
      <c r="G346" s="175"/>
      <c r="H346" s="107"/>
      <c r="I346" s="202"/>
      <c r="J346" s="109" t="str">
        <f t="shared" si="22"/>
        <v/>
      </c>
      <c r="K346" s="109" t="s">
        <v>1768</v>
      </c>
      <c r="L346" s="110" t="str">
        <f t="shared" ca="1" si="23"/>
        <v/>
      </c>
    </row>
    <row r="347" spans="1:12" outlineLevel="2" x14ac:dyDescent="0.2">
      <c r="A347" s="122" t="s">
        <v>1699</v>
      </c>
      <c r="B347" s="155" t="s">
        <v>704</v>
      </c>
      <c r="C347" s="155" t="s">
        <v>766</v>
      </c>
      <c r="D347" s="176">
        <v>1</v>
      </c>
      <c r="E347" s="69"/>
      <c r="F347" s="174"/>
      <c r="G347" s="175"/>
      <c r="H347" s="107"/>
      <c r="I347" s="202"/>
      <c r="J347" s="109" t="str">
        <f t="shared" si="22"/>
        <v/>
      </c>
      <c r="K347" s="109" t="s">
        <v>1768</v>
      </c>
      <c r="L347" s="110" t="str">
        <f t="shared" ca="1" si="23"/>
        <v/>
      </c>
    </row>
    <row r="348" spans="1:12" outlineLevel="2" x14ac:dyDescent="0.2">
      <c r="A348" s="122" t="s">
        <v>1700</v>
      </c>
      <c r="B348" s="155" t="s">
        <v>705</v>
      </c>
      <c r="C348" s="155" t="s">
        <v>767</v>
      </c>
      <c r="D348" s="176">
        <v>1</v>
      </c>
      <c r="E348" s="69"/>
      <c r="F348" s="174"/>
      <c r="G348" s="175"/>
      <c r="H348" s="107"/>
      <c r="I348" s="202"/>
      <c r="J348" s="109" t="str">
        <f t="shared" si="22"/>
        <v/>
      </c>
      <c r="K348" s="109" t="s">
        <v>1768</v>
      </c>
      <c r="L348" s="110" t="str">
        <f t="shared" ca="1" si="23"/>
        <v/>
      </c>
    </row>
    <row r="349" spans="1:12" outlineLevel="2" x14ac:dyDescent="0.2">
      <c r="A349" s="122" t="s">
        <v>1701</v>
      </c>
      <c r="B349" s="155" t="s">
        <v>706</v>
      </c>
      <c r="C349" s="155" t="s">
        <v>768</v>
      </c>
      <c r="D349" s="176">
        <v>1</v>
      </c>
      <c r="E349" s="69"/>
      <c r="F349" s="174"/>
      <c r="G349" s="175"/>
      <c r="H349" s="107"/>
      <c r="I349" s="202"/>
      <c r="J349" s="109" t="str">
        <f t="shared" si="22"/>
        <v/>
      </c>
      <c r="K349" s="109" t="s">
        <v>1768</v>
      </c>
      <c r="L349" s="110" t="str">
        <f t="shared" ca="1" si="23"/>
        <v/>
      </c>
    </row>
    <row r="350" spans="1:12" outlineLevel="2" x14ac:dyDescent="0.2">
      <c r="A350" s="122" t="s">
        <v>1702</v>
      </c>
      <c r="B350" s="155" t="s">
        <v>707</v>
      </c>
      <c r="C350" s="155" t="s">
        <v>769</v>
      </c>
      <c r="D350" s="176">
        <v>1</v>
      </c>
      <c r="E350" s="69"/>
      <c r="F350" s="174"/>
      <c r="G350" s="175"/>
      <c r="H350" s="107"/>
      <c r="I350" s="202"/>
      <c r="J350" s="109" t="str">
        <f t="shared" si="22"/>
        <v/>
      </c>
      <c r="K350" s="109" t="s">
        <v>1768</v>
      </c>
      <c r="L350" s="110" t="str">
        <f t="shared" ca="1" si="23"/>
        <v/>
      </c>
    </row>
    <row r="351" spans="1:12" outlineLevel="2" x14ac:dyDescent="0.2">
      <c r="A351" s="122" t="s">
        <v>1703</v>
      </c>
      <c r="B351" s="155" t="s">
        <v>708</v>
      </c>
      <c r="C351" s="155" t="s">
        <v>770</v>
      </c>
      <c r="D351" s="176">
        <v>1</v>
      </c>
      <c r="E351" s="69"/>
      <c r="F351" s="174"/>
      <c r="G351" s="175"/>
      <c r="H351" s="107"/>
      <c r="I351" s="202"/>
      <c r="J351" s="109" t="str">
        <f t="shared" si="22"/>
        <v/>
      </c>
      <c r="K351" s="109" t="s">
        <v>1768</v>
      </c>
      <c r="L351" s="110" t="str">
        <f t="shared" ca="1" si="23"/>
        <v/>
      </c>
    </row>
    <row r="352" spans="1:12" outlineLevel="2" x14ac:dyDescent="0.2">
      <c r="A352" s="122" t="s">
        <v>1704</v>
      </c>
      <c r="B352" s="155" t="s">
        <v>709</v>
      </c>
      <c r="C352" s="155" t="s">
        <v>771</v>
      </c>
      <c r="D352" s="176">
        <v>1</v>
      </c>
      <c r="E352" s="69"/>
      <c r="F352" s="174"/>
      <c r="G352" s="175"/>
      <c r="H352" s="107"/>
      <c r="I352" s="202"/>
      <c r="J352" s="109" t="str">
        <f t="shared" si="22"/>
        <v/>
      </c>
      <c r="K352" s="109" t="s">
        <v>1768</v>
      </c>
      <c r="L352" s="110" t="str">
        <f t="shared" ca="1" si="23"/>
        <v/>
      </c>
    </row>
    <row r="353" spans="1:12" outlineLevel="2" x14ac:dyDescent="0.2">
      <c r="A353" s="122" t="s">
        <v>1705</v>
      </c>
      <c r="B353" s="155" t="s">
        <v>710</v>
      </c>
      <c r="C353" s="155" t="s">
        <v>772</v>
      </c>
      <c r="D353" s="176">
        <v>1</v>
      </c>
      <c r="E353" s="69"/>
      <c r="F353" s="174"/>
      <c r="G353" s="175"/>
      <c r="H353" s="107"/>
      <c r="I353" s="202"/>
      <c r="J353" s="109" t="str">
        <f t="shared" si="22"/>
        <v/>
      </c>
      <c r="K353" s="109" t="s">
        <v>1768</v>
      </c>
      <c r="L353" s="110" t="str">
        <f t="shared" ca="1" si="23"/>
        <v/>
      </c>
    </row>
    <row r="354" spans="1:12" outlineLevel="2" x14ac:dyDescent="0.2">
      <c r="A354" s="122" t="s">
        <v>1706</v>
      </c>
      <c r="B354" s="155" t="s">
        <v>711</v>
      </c>
      <c r="C354" s="155" t="s">
        <v>773</v>
      </c>
      <c r="D354" s="176">
        <v>1</v>
      </c>
      <c r="E354" s="69"/>
      <c r="F354" s="174"/>
      <c r="G354" s="175"/>
      <c r="H354" s="107"/>
      <c r="I354" s="202"/>
      <c r="J354" s="109" t="str">
        <f t="shared" si="22"/>
        <v/>
      </c>
      <c r="K354" s="109" t="s">
        <v>1768</v>
      </c>
      <c r="L354" s="110" t="str">
        <f t="shared" ca="1" si="23"/>
        <v/>
      </c>
    </row>
    <row r="355" spans="1:12" outlineLevel="2" x14ac:dyDescent="0.2">
      <c r="A355" s="122" t="s">
        <v>1707</v>
      </c>
      <c r="B355" s="155" t="s">
        <v>712</v>
      </c>
      <c r="C355" s="155" t="s">
        <v>774</v>
      </c>
      <c r="D355" s="176">
        <v>1</v>
      </c>
      <c r="E355" s="69"/>
      <c r="F355" s="174"/>
      <c r="G355" s="175"/>
      <c r="H355" s="107"/>
      <c r="I355" s="202"/>
      <c r="J355" s="109" t="str">
        <f t="shared" ref="J355:J418" si="26">IF(I355="","", "A")</f>
        <v/>
      </c>
      <c r="K355" s="109" t="s">
        <v>1768</v>
      </c>
      <c r="L355" s="110" t="str">
        <f t="shared" ref="L355:L418" ca="1" si="27">IF(I355="","",TODAY())</f>
        <v/>
      </c>
    </row>
    <row r="356" spans="1:12" outlineLevel="2" x14ac:dyDescent="0.2">
      <c r="A356" s="122" t="s">
        <v>1708</v>
      </c>
      <c r="B356" s="155" t="s">
        <v>948</v>
      </c>
      <c r="C356" s="155" t="s">
        <v>775</v>
      </c>
      <c r="D356" s="176">
        <v>1</v>
      </c>
      <c r="E356" s="69"/>
      <c r="F356" s="174"/>
      <c r="G356" s="175"/>
      <c r="H356" s="107"/>
      <c r="I356" s="202"/>
      <c r="J356" s="109" t="str">
        <f t="shared" si="26"/>
        <v/>
      </c>
      <c r="K356" s="109" t="s">
        <v>1768</v>
      </c>
      <c r="L356" s="110" t="str">
        <f t="shared" ca="1" si="27"/>
        <v/>
      </c>
    </row>
    <row r="357" spans="1:12" outlineLevel="2" x14ac:dyDescent="0.2">
      <c r="A357" s="122" t="s">
        <v>1709</v>
      </c>
      <c r="B357" s="155" t="s">
        <v>949</v>
      </c>
      <c r="C357" s="155" t="s">
        <v>776</v>
      </c>
      <c r="D357" s="176">
        <v>1</v>
      </c>
      <c r="E357" s="69"/>
      <c r="F357" s="174"/>
      <c r="G357" s="175"/>
      <c r="H357" s="107"/>
      <c r="I357" s="202"/>
      <c r="J357" s="109" t="str">
        <f t="shared" si="26"/>
        <v/>
      </c>
      <c r="K357" s="109" t="s">
        <v>1768</v>
      </c>
      <c r="L357" s="110" t="str">
        <f t="shared" ca="1" si="27"/>
        <v/>
      </c>
    </row>
    <row r="358" spans="1:12" outlineLevel="2" x14ac:dyDescent="0.2">
      <c r="A358" s="122" t="s">
        <v>1710</v>
      </c>
      <c r="B358" s="155" t="s">
        <v>713</v>
      </c>
      <c r="C358" s="155" t="s">
        <v>777</v>
      </c>
      <c r="D358" s="176">
        <v>1</v>
      </c>
      <c r="E358" s="69"/>
      <c r="F358" s="174"/>
      <c r="G358" s="175"/>
      <c r="H358" s="107"/>
      <c r="I358" s="202"/>
      <c r="J358" s="109" t="str">
        <f t="shared" si="26"/>
        <v/>
      </c>
      <c r="K358" s="109" t="s">
        <v>1768</v>
      </c>
      <c r="L358" s="110" t="str">
        <f t="shared" ca="1" si="27"/>
        <v/>
      </c>
    </row>
    <row r="359" spans="1:12" outlineLevel="2" x14ac:dyDescent="0.2">
      <c r="A359" s="122" t="s">
        <v>1711</v>
      </c>
      <c r="B359" s="155" t="s">
        <v>714</v>
      </c>
      <c r="C359" s="155" t="s">
        <v>778</v>
      </c>
      <c r="D359" s="176">
        <v>3</v>
      </c>
      <c r="E359" s="69"/>
      <c r="F359" s="174"/>
      <c r="G359" s="175"/>
      <c r="H359" s="107"/>
      <c r="I359" s="202"/>
      <c r="J359" s="109" t="str">
        <f t="shared" si="26"/>
        <v/>
      </c>
      <c r="K359" s="109" t="s">
        <v>1768</v>
      </c>
      <c r="L359" s="110" t="str">
        <f t="shared" ca="1" si="27"/>
        <v/>
      </c>
    </row>
    <row r="360" spans="1:12" outlineLevel="2" x14ac:dyDescent="0.2">
      <c r="A360" s="122" t="s">
        <v>1712</v>
      </c>
      <c r="B360" s="155" t="s">
        <v>715</v>
      </c>
      <c r="C360" s="155" t="s">
        <v>779</v>
      </c>
      <c r="D360" s="176">
        <v>1</v>
      </c>
      <c r="E360" s="69"/>
      <c r="F360" s="174"/>
      <c r="G360" s="175"/>
      <c r="H360" s="107"/>
      <c r="I360" s="202"/>
      <c r="J360" s="109" t="str">
        <f t="shared" si="26"/>
        <v/>
      </c>
      <c r="K360" s="109" t="s">
        <v>1768</v>
      </c>
      <c r="L360" s="110" t="str">
        <f t="shared" ca="1" si="27"/>
        <v/>
      </c>
    </row>
    <row r="361" spans="1:12" outlineLevel="2" x14ac:dyDescent="0.2">
      <c r="A361" s="122" t="s">
        <v>1713</v>
      </c>
      <c r="B361" s="155" t="s">
        <v>716</v>
      </c>
      <c r="C361" s="155" t="s">
        <v>780</v>
      </c>
      <c r="D361" s="176">
        <v>2</v>
      </c>
      <c r="E361" s="69"/>
      <c r="F361" s="174"/>
      <c r="G361" s="175"/>
      <c r="H361" s="107"/>
      <c r="I361" s="202"/>
      <c r="J361" s="109" t="str">
        <f t="shared" si="26"/>
        <v/>
      </c>
      <c r="K361" s="109" t="s">
        <v>1768</v>
      </c>
      <c r="L361" s="110" t="str">
        <f t="shared" ca="1" si="27"/>
        <v/>
      </c>
    </row>
    <row r="362" spans="1:12" outlineLevel="2" x14ac:dyDescent="0.2">
      <c r="A362" s="122" t="s">
        <v>1714</v>
      </c>
      <c r="B362" s="155" t="s">
        <v>950</v>
      </c>
      <c r="C362" s="155" t="s">
        <v>781</v>
      </c>
      <c r="D362" s="176">
        <v>1</v>
      </c>
      <c r="E362" s="69"/>
      <c r="F362" s="174"/>
      <c r="G362" s="175"/>
      <c r="H362" s="107"/>
      <c r="I362" s="202"/>
      <c r="J362" s="109" t="str">
        <f t="shared" si="26"/>
        <v/>
      </c>
      <c r="K362" s="109" t="s">
        <v>1768</v>
      </c>
      <c r="L362" s="110" t="str">
        <f t="shared" ca="1" si="27"/>
        <v/>
      </c>
    </row>
    <row r="363" spans="1:12" outlineLevel="2" x14ac:dyDescent="0.2">
      <c r="A363" s="122" t="s">
        <v>1715</v>
      </c>
      <c r="B363" s="155" t="s">
        <v>717</v>
      </c>
      <c r="C363" s="155" t="s">
        <v>782</v>
      </c>
      <c r="D363" s="176">
        <v>1</v>
      </c>
      <c r="E363" s="69"/>
      <c r="F363" s="174"/>
      <c r="G363" s="175"/>
      <c r="H363" s="107"/>
      <c r="I363" s="202"/>
      <c r="J363" s="109" t="str">
        <f t="shared" si="26"/>
        <v/>
      </c>
      <c r="K363" s="109" t="s">
        <v>1768</v>
      </c>
      <c r="L363" s="110" t="str">
        <f t="shared" ca="1" si="27"/>
        <v/>
      </c>
    </row>
    <row r="364" spans="1:12" outlineLevel="2" x14ac:dyDescent="0.2">
      <c r="A364" s="122" t="s">
        <v>1716</v>
      </c>
      <c r="B364" s="155" t="s">
        <v>718</v>
      </c>
      <c r="C364" s="155" t="s">
        <v>783</v>
      </c>
      <c r="D364" s="176">
        <v>1</v>
      </c>
      <c r="E364" s="69"/>
      <c r="F364" s="174"/>
      <c r="G364" s="175"/>
      <c r="H364" s="107"/>
      <c r="I364" s="202"/>
      <c r="J364" s="109" t="str">
        <f t="shared" si="26"/>
        <v/>
      </c>
      <c r="K364" s="109" t="s">
        <v>1768</v>
      </c>
      <c r="L364" s="110" t="str">
        <f t="shared" ca="1" si="27"/>
        <v/>
      </c>
    </row>
    <row r="365" spans="1:12" outlineLevel="2" x14ac:dyDescent="0.2">
      <c r="A365" s="122" t="s">
        <v>1717</v>
      </c>
      <c r="B365" s="155" t="s">
        <v>719</v>
      </c>
      <c r="C365" s="155" t="s">
        <v>784</v>
      </c>
      <c r="D365" s="176">
        <v>5</v>
      </c>
      <c r="E365" s="69"/>
      <c r="F365" s="174"/>
      <c r="G365" s="175"/>
      <c r="H365" s="107"/>
      <c r="I365" s="202"/>
      <c r="J365" s="109" t="str">
        <f t="shared" si="26"/>
        <v/>
      </c>
      <c r="K365" s="109" t="s">
        <v>1768</v>
      </c>
      <c r="L365" s="110" t="str">
        <f t="shared" ca="1" si="27"/>
        <v/>
      </c>
    </row>
    <row r="366" spans="1:12" outlineLevel="2" x14ac:dyDescent="0.2">
      <c r="A366" s="122" t="s">
        <v>1718</v>
      </c>
      <c r="B366" s="155" t="s">
        <v>720</v>
      </c>
      <c r="C366" s="155" t="s">
        <v>785</v>
      </c>
      <c r="D366" s="176">
        <v>5</v>
      </c>
      <c r="E366" s="69"/>
      <c r="F366" s="174"/>
      <c r="G366" s="175"/>
      <c r="H366" s="107"/>
      <c r="I366" s="202"/>
      <c r="J366" s="109" t="str">
        <f t="shared" si="26"/>
        <v/>
      </c>
      <c r="K366" s="109" t="s">
        <v>1768</v>
      </c>
      <c r="L366" s="110" t="str">
        <f t="shared" ca="1" si="27"/>
        <v/>
      </c>
    </row>
    <row r="367" spans="1:12" outlineLevel="2" x14ac:dyDescent="0.2">
      <c r="A367" s="122" t="s">
        <v>1719</v>
      </c>
      <c r="B367" s="155" t="s">
        <v>721</v>
      </c>
      <c r="C367" s="155" t="s">
        <v>786</v>
      </c>
      <c r="D367" s="176">
        <v>2</v>
      </c>
      <c r="E367" s="69"/>
      <c r="F367" s="174"/>
      <c r="G367" s="175"/>
      <c r="H367" s="107"/>
      <c r="I367" s="202"/>
      <c r="J367" s="109" t="str">
        <f t="shared" si="26"/>
        <v/>
      </c>
      <c r="K367" s="109" t="s">
        <v>1768</v>
      </c>
      <c r="L367" s="110" t="str">
        <f t="shared" ca="1" si="27"/>
        <v/>
      </c>
    </row>
    <row r="368" spans="1:12" outlineLevel="2" x14ac:dyDescent="0.2">
      <c r="A368" s="122" t="s">
        <v>1720</v>
      </c>
      <c r="B368" s="155" t="s">
        <v>626</v>
      </c>
      <c r="C368" s="155" t="s">
        <v>656</v>
      </c>
      <c r="D368" s="176">
        <v>1</v>
      </c>
      <c r="E368" s="69"/>
      <c r="F368" s="174"/>
      <c r="G368" s="175"/>
      <c r="H368" s="107"/>
      <c r="I368" s="202"/>
      <c r="J368" s="109" t="str">
        <f t="shared" si="26"/>
        <v/>
      </c>
      <c r="K368" s="109" t="s">
        <v>1768</v>
      </c>
      <c r="L368" s="110" t="str">
        <f t="shared" ca="1" si="27"/>
        <v/>
      </c>
    </row>
    <row r="369" spans="1:12" outlineLevel="2" x14ac:dyDescent="0.2">
      <c r="A369" s="122" t="s">
        <v>1721</v>
      </c>
      <c r="B369" s="155" t="s">
        <v>722</v>
      </c>
      <c r="C369" s="155" t="s">
        <v>787</v>
      </c>
      <c r="D369" s="176">
        <v>12</v>
      </c>
      <c r="E369" s="69"/>
      <c r="F369" s="174"/>
      <c r="G369" s="175"/>
      <c r="H369" s="107"/>
      <c r="I369" s="202"/>
      <c r="J369" s="109" t="str">
        <f t="shared" si="26"/>
        <v/>
      </c>
      <c r="K369" s="109" t="s">
        <v>1768</v>
      </c>
      <c r="L369" s="110" t="str">
        <f t="shared" ca="1" si="27"/>
        <v/>
      </c>
    </row>
    <row r="370" spans="1:12" outlineLevel="2" x14ac:dyDescent="0.2">
      <c r="A370" s="122" t="s">
        <v>1722</v>
      </c>
      <c r="B370" s="155" t="s">
        <v>723</v>
      </c>
      <c r="C370" s="155" t="s">
        <v>788</v>
      </c>
      <c r="D370" s="176">
        <v>3</v>
      </c>
      <c r="E370" s="69"/>
      <c r="F370" s="174"/>
      <c r="G370" s="175"/>
      <c r="H370" s="107"/>
      <c r="I370" s="202"/>
      <c r="J370" s="109" t="str">
        <f t="shared" si="26"/>
        <v/>
      </c>
      <c r="K370" s="109" t="s">
        <v>1768</v>
      </c>
      <c r="L370" s="110" t="str">
        <f t="shared" ca="1" si="27"/>
        <v/>
      </c>
    </row>
    <row r="371" spans="1:12" outlineLevel="2" x14ac:dyDescent="0.2">
      <c r="A371" s="122" t="s">
        <v>1723</v>
      </c>
      <c r="B371" s="155" t="s">
        <v>724</v>
      </c>
      <c r="C371" s="155" t="s">
        <v>789</v>
      </c>
      <c r="D371" s="176">
        <v>9</v>
      </c>
      <c r="E371" s="69"/>
      <c r="F371" s="174"/>
      <c r="G371" s="175"/>
      <c r="H371" s="107"/>
      <c r="I371" s="202"/>
      <c r="J371" s="109" t="str">
        <f t="shared" si="26"/>
        <v/>
      </c>
      <c r="K371" s="109" t="s">
        <v>1768</v>
      </c>
      <c r="L371" s="110" t="str">
        <f t="shared" ca="1" si="27"/>
        <v/>
      </c>
    </row>
    <row r="372" spans="1:12" outlineLevel="2" x14ac:dyDescent="0.2">
      <c r="A372" s="122" t="s">
        <v>1724</v>
      </c>
      <c r="B372" s="155" t="s">
        <v>725</v>
      </c>
      <c r="C372" s="155" t="s">
        <v>790</v>
      </c>
      <c r="D372" s="176">
        <v>4</v>
      </c>
      <c r="E372" s="69"/>
      <c r="F372" s="174"/>
      <c r="G372" s="175"/>
      <c r="H372" s="107"/>
      <c r="I372" s="202"/>
      <c r="J372" s="109" t="str">
        <f t="shared" si="26"/>
        <v/>
      </c>
      <c r="K372" s="109" t="s">
        <v>1768</v>
      </c>
      <c r="L372" s="110" t="str">
        <f t="shared" ca="1" si="27"/>
        <v/>
      </c>
    </row>
    <row r="373" spans="1:12" outlineLevel="2" x14ac:dyDescent="0.2">
      <c r="A373" s="122" t="s">
        <v>1725</v>
      </c>
      <c r="B373" s="155" t="s">
        <v>726</v>
      </c>
      <c r="C373" s="155" t="s">
        <v>791</v>
      </c>
      <c r="D373" s="176">
        <v>1</v>
      </c>
      <c r="E373" s="69"/>
      <c r="F373" s="174"/>
      <c r="G373" s="175"/>
      <c r="H373" s="107"/>
      <c r="I373" s="202"/>
      <c r="J373" s="109" t="str">
        <f t="shared" si="26"/>
        <v/>
      </c>
      <c r="K373" s="109" t="s">
        <v>1768</v>
      </c>
      <c r="L373" s="110" t="str">
        <f t="shared" ca="1" si="27"/>
        <v/>
      </c>
    </row>
    <row r="374" spans="1:12" outlineLevel="2" x14ac:dyDescent="0.2">
      <c r="A374" s="122" t="s">
        <v>1726</v>
      </c>
      <c r="B374" s="155" t="s">
        <v>727</v>
      </c>
      <c r="C374" s="155" t="s">
        <v>792</v>
      </c>
      <c r="D374" s="176">
        <v>1</v>
      </c>
      <c r="E374" s="69"/>
      <c r="F374" s="174"/>
      <c r="G374" s="175"/>
      <c r="H374" s="107"/>
      <c r="I374" s="202"/>
      <c r="J374" s="109" t="str">
        <f t="shared" si="26"/>
        <v/>
      </c>
      <c r="K374" s="109" t="s">
        <v>1768</v>
      </c>
      <c r="L374" s="110" t="str">
        <f t="shared" ca="1" si="27"/>
        <v/>
      </c>
    </row>
    <row r="375" spans="1:12" outlineLevel="2" x14ac:dyDescent="0.2">
      <c r="A375" s="122" t="s">
        <v>1727</v>
      </c>
      <c r="B375" s="155" t="s">
        <v>728</v>
      </c>
      <c r="C375" s="155" t="s">
        <v>793</v>
      </c>
      <c r="D375" s="176">
        <v>2</v>
      </c>
      <c r="E375" s="69"/>
      <c r="F375" s="174"/>
      <c r="G375" s="175"/>
      <c r="H375" s="107"/>
      <c r="I375" s="202"/>
      <c r="J375" s="109" t="str">
        <f t="shared" si="26"/>
        <v/>
      </c>
      <c r="K375" s="109" t="s">
        <v>1768</v>
      </c>
      <c r="L375" s="110" t="str">
        <f t="shared" ca="1" si="27"/>
        <v/>
      </c>
    </row>
    <row r="376" spans="1:12" outlineLevel="2" x14ac:dyDescent="0.2">
      <c r="A376" s="122" t="s">
        <v>1728</v>
      </c>
      <c r="B376" s="155" t="s">
        <v>729</v>
      </c>
      <c r="C376" s="155" t="s">
        <v>794</v>
      </c>
      <c r="D376" s="176">
        <v>1</v>
      </c>
      <c r="E376" s="69"/>
      <c r="F376" s="174"/>
      <c r="G376" s="175"/>
      <c r="H376" s="107"/>
      <c r="I376" s="202"/>
      <c r="J376" s="109" t="str">
        <f t="shared" si="26"/>
        <v/>
      </c>
      <c r="K376" s="109" t="s">
        <v>1768</v>
      </c>
      <c r="L376" s="110" t="str">
        <f t="shared" ca="1" si="27"/>
        <v/>
      </c>
    </row>
    <row r="377" spans="1:12" outlineLevel="2" x14ac:dyDescent="0.2">
      <c r="A377" s="122" t="s">
        <v>1729</v>
      </c>
      <c r="B377" s="155" t="s">
        <v>730</v>
      </c>
      <c r="C377" s="155" t="s">
        <v>795</v>
      </c>
      <c r="D377" s="176">
        <v>1</v>
      </c>
      <c r="E377" s="69"/>
      <c r="F377" s="174"/>
      <c r="G377" s="175"/>
      <c r="H377" s="107"/>
      <c r="I377" s="202"/>
      <c r="J377" s="109" t="str">
        <f t="shared" si="26"/>
        <v/>
      </c>
      <c r="K377" s="109" t="s">
        <v>1768</v>
      </c>
      <c r="L377" s="110" t="str">
        <f t="shared" ca="1" si="27"/>
        <v/>
      </c>
    </row>
    <row r="378" spans="1:12" ht="13.5" outlineLevel="2" thickBot="1" x14ac:dyDescent="0.25">
      <c r="A378" s="122" t="s">
        <v>1730</v>
      </c>
      <c r="B378" s="165" t="s">
        <v>731</v>
      </c>
      <c r="C378" s="165" t="s">
        <v>796</v>
      </c>
      <c r="D378" s="177">
        <v>2</v>
      </c>
      <c r="E378" s="81"/>
      <c r="F378" s="178"/>
      <c r="G378" s="179"/>
      <c r="H378" s="108"/>
      <c r="I378" s="205"/>
      <c r="J378" s="129" t="str">
        <f t="shared" si="26"/>
        <v/>
      </c>
      <c r="K378" s="129" t="s">
        <v>1768</v>
      </c>
      <c r="L378" s="130" t="str">
        <f t="shared" ca="1" si="27"/>
        <v/>
      </c>
    </row>
    <row r="379" spans="1:12" ht="13.5" outlineLevel="2" thickBot="1" x14ac:dyDescent="0.25">
      <c r="A379" s="140"/>
      <c r="B379" s="191"/>
      <c r="C379" s="192"/>
      <c r="D379" s="193"/>
      <c r="E379" s="77"/>
      <c r="F379" s="170"/>
      <c r="G379" s="171"/>
      <c r="H379" s="233"/>
      <c r="I379" s="226"/>
      <c r="J379" s="133" t="str">
        <f t="shared" si="26"/>
        <v/>
      </c>
      <c r="K379" s="133" t="s">
        <v>1768</v>
      </c>
      <c r="L379" s="134" t="str">
        <f t="shared" ca="1" si="27"/>
        <v/>
      </c>
    </row>
    <row r="380" spans="1:12" outlineLevel="2" x14ac:dyDescent="0.2">
      <c r="A380" s="352">
        <v>11</v>
      </c>
      <c r="B380" s="354" t="s">
        <v>257</v>
      </c>
      <c r="C380" s="356" t="s">
        <v>258</v>
      </c>
      <c r="D380" s="358">
        <f>F381</f>
        <v>1</v>
      </c>
      <c r="E380" s="360">
        <v>420785.22</v>
      </c>
      <c r="F380" s="188">
        <v>420785.22</v>
      </c>
      <c r="G380" s="173"/>
      <c r="H380" s="365" t="s">
        <v>464</v>
      </c>
      <c r="I380" s="204"/>
      <c r="J380" s="131" t="str">
        <f t="shared" si="26"/>
        <v/>
      </c>
      <c r="K380" s="131" t="s">
        <v>1768</v>
      </c>
      <c r="L380" s="132" t="str">
        <f t="shared" ca="1" si="27"/>
        <v/>
      </c>
    </row>
    <row r="381" spans="1:12" outlineLevel="2" x14ac:dyDescent="0.2">
      <c r="A381" s="353"/>
      <c r="B381" s="355"/>
      <c r="C381" s="357"/>
      <c r="D381" s="359"/>
      <c r="E381" s="361">
        <v>1</v>
      </c>
      <c r="F381" s="174">
        <v>1</v>
      </c>
      <c r="G381" s="175"/>
      <c r="H381" s="366"/>
      <c r="I381" s="202"/>
      <c r="J381" s="109" t="str">
        <f t="shared" si="26"/>
        <v/>
      </c>
      <c r="K381" s="109" t="s">
        <v>1768</v>
      </c>
      <c r="L381" s="110" t="str">
        <f t="shared" ca="1" si="27"/>
        <v/>
      </c>
    </row>
    <row r="382" spans="1:12" outlineLevel="2" x14ac:dyDescent="0.2">
      <c r="A382" s="122" t="s">
        <v>1731</v>
      </c>
      <c r="B382" s="155" t="s">
        <v>797</v>
      </c>
      <c r="C382" s="155" t="s">
        <v>802</v>
      </c>
      <c r="D382" s="176">
        <v>1</v>
      </c>
      <c r="E382" s="69"/>
      <c r="F382" s="174"/>
      <c r="G382" s="175"/>
      <c r="H382" s="107"/>
      <c r="I382" s="202"/>
      <c r="J382" s="109" t="str">
        <f t="shared" si="26"/>
        <v/>
      </c>
      <c r="K382" s="109" t="s">
        <v>1768</v>
      </c>
      <c r="L382" s="110" t="str">
        <f t="shared" ca="1" si="27"/>
        <v/>
      </c>
    </row>
    <row r="383" spans="1:12" outlineLevel="2" x14ac:dyDescent="0.2">
      <c r="A383" s="122" t="s">
        <v>1732</v>
      </c>
      <c r="B383" s="155" t="s">
        <v>798</v>
      </c>
      <c r="C383" s="155" t="s">
        <v>803</v>
      </c>
      <c r="D383" s="176">
        <v>5</v>
      </c>
      <c r="E383" s="69"/>
      <c r="F383" s="174"/>
      <c r="G383" s="175"/>
      <c r="H383" s="107"/>
      <c r="I383" s="202"/>
      <c r="J383" s="109" t="str">
        <f t="shared" si="26"/>
        <v/>
      </c>
      <c r="K383" s="109" t="s">
        <v>1768</v>
      </c>
      <c r="L383" s="110" t="str">
        <f t="shared" ca="1" si="27"/>
        <v/>
      </c>
    </row>
    <row r="384" spans="1:12" outlineLevel="2" x14ac:dyDescent="0.2">
      <c r="A384" s="122" t="s">
        <v>1733</v>
      </c>
      <c r="B384" s="155" t="s">
        <v>799</v>
      </c>
      <c r="C384" s="155" t="s">
        <v>804</v>
      </c>
      <c r="D384" s="176">
        <v>3</v>
      </c>
      <c r="E384" s="69"/>
      <c r="F384" s="174"/>
      <c r="G384" s="175"/>
      <c r="H384" s="107"/>
      <c r="I384" s="202"/>
      <c r="J384" s="109" t="str">
        <f t="shared" si="26"/>
        <v/>
      </c>
      <c r="K384" s="109" t="s">
        <v>1768</v>
      </c>
      <c r="L384" s="110" t="str">
        <f t="shared" ca="1" si="27"/>
        <v/>
      </c>
    </row>
    <row r="385" spans="1:12" outlineLevel="2" x14ac:dyDescent="0.2">
      <c r="A385" s="122" t="s">
        <v>1734</v>
      </c>
      <c r="B385" s="155" t="s">
        <v>530</v>
      </c>
      <c r="C385" s="155" t="s">
        <v>535</v>
      </c>
      <c r="D385" s="176">
        <v>4</v>
      </c>
      <c r="E385" s="69"/>
      <c r="F385" s="174"/>
      <c r="G385" s="175"/>
      <c r="H385" s="107"/>
      <c r="I385" s="202"/>
      <c r="J385" s="109" t="str">
        <f t="shared" si="26"/>
        <v/>
      </c>
      <c r="K385" s="109" t="s">
        <v>1768</v>
      </c>
      <c r="L385" s="110" t="str">
        <f t="shared" ca="1" si="27"/>
        <v/>
      </c>
    </row>
    <row r="386" spans="1:12" outlineLevel="2" x14ac:dyDescent="0.2">
      <c r="A386" s="122" t="s">
        <v>1735</v>
      </c>
      <c r="B386" s="155" t="s">
        <v>800</v>
      </c>
      <c r="C386" s="155" t="s">
        <v>805</v>
      </c>
      <c r="D386" s="176">
        <v>3</v>
      </c>
      <c r="E386" s="69"/>
      <c r="F386" s="174"/>
      <c r="G386" s="175"/>
      <c r="H386" s="107"/>
      <c r="I386" s="202"/>
      <c r="J386" s="109" t="str">
        <f t="shared" si="26"/>
        <v/>
      </c>
      <c r="K386" s="109" t="s">
        <v>1768</v>
      </c>
      <c r="L386" s="110" t="str">
        <f t="shared" ca="1" si="27"/>
        <v/>
      </c>
    </row>
    <row r="387" spans="1:12" ht="13.5" outlineLevel="2" thickBot="1" x14ac:dyDescent="0.25">
      <c r="A387" s="122" t="s">
        <v>1736</v>
      </c>
      <c r="B387" s="165" t="s">
        <v>801</v>
      </c>
      <c r="C387" s="165" t="s">
        <v>806</v>
      </c>
      <c r="D387" s="177">
        <v>3</v>
      </c>
      <c r="E387" s="81"/>
      <c r="F387" s="178"/>
      <c r="G387" s="179"/>
      <c r="H387" s="108"/>
      <c r="I387" s="205"/>
      <c r="J387" s="129" t="str">
        <f t="shared" si="26"/>
        <v/>
      </c>
      <c r="K387" s="129" t="s">
        <v>1768</v>
      </c>
      <c r="L387" s="130" t="str">
        <f t="shared" ca="1" si="27"/>
        <v/>
      </c>
    </row>
    <row r="388" spans="1:12" outlineLevel="2" x14ac:dyDescent="0.2">
      <c r="A388" s="140"/>
      <c r="B388" s="144"/>
      <c r="C388" s="153"/>
      <c r="D388" s="150"/>
      <c r="E388" s="59"/>
      <c r="F388" s="180"/>
      <c r="G388" s="181"/>
      <c r="H388" s="114"/>
      <c r="I388" s="211"/>
      <c r="J388" s="203" t="str">
        <f t="shared" si="26"/>
        <v/>
      </c>
      <c r="K388" s="203" t="s">
        <v>1768</v>
      </c>
      <c r="L388" s="212" t="str">
        <f t="shared" ca="1" si="27"/>
        <v/>
      </c>
    </row>
    <row r="389" spans="1:12" ht="13.5" outlineLevel="2" thickBot="1" x14ac:dyDescent="0.25">
      <c r="A389" s="140"/>
      <c r="B389" s="83"/>
      <c r="C389" s="154"/>
      <c r="D389" s="151"/>
      <c r="E389" s="84"/>
      <c r="F389" s="182"/>
      <c r="G389" s="183"/>
      <c r="H389" s="115"/>
      <c r="I389" s="218"/>
      <c r="J389" s="219" t="str">
        <f t="shared" si="26"/>
        <v/>
      </c>
      <c r="K389" s="219" t="s">
        <v>1768</v>
      </c>
      <c r="L389" s="220" t="str">
        <f t="shared" ca="1" si="27"/>
        <v/>
      </c>
    </row>
    <row r="390" spans="1:12" outlineLevel="2" x14ac:dyDescent="0.2">
      <c r="A390" s="352">
        <v>12</v>
      </c>
      <c r="B390" s="354" t="s">
        <v>259</v>
      </c>
      <c r="C390" s="356" t="s">
        <v>260</v>
      </c>
      <c r="D390" s="358">
        <f>F391</f>
        <v>1</v>
      </c>
      <c r="E390" s="360">
        <v>359011.37</v>
      </c>
      <c r="F390" s="188">
        <v>359011.37</v>
      </c>
      <c r="G390" s="173"/>
      <c r="H390" s="379" t="s">
        <v>464</v>
      </c>
      <c r="I390" s="202"/>
      <c r="J390" s="109" t="str">
        <f t="shared" si="26"/>
        <v/>
      </c>
      <c r="K390" s="109" t="s">
        <v>1768</v>
      </c>
      <c r="L390" s="110" t="str">
        <f t="shared" ca="1" si="27"/>
        <v/>
      </c>
    </row>
    <row r="391" spans="1:12" outlineLevel="2" x14ac:dyDescent="0.2">
      <c r="A391" s="353"/>
      <c r="B391" s="355"/>
      <c r="C391" s="357"/>
      <c r="D391" s="359"/>
      <c r="E391" s="361">
        <v>1</v>
      </c>
      <c r="F391" s="174">
        <v>1</v>
      </c>
      <c r="G391" s="175"/>
      <c r="H391" s="366"/>
      <c r="I391" s="202"/>
      <c r="J391" s="109" t="str">
        <f t="shared" si="26"/>
        <v/>
      </c>
      <c r="K391" s="109" t="s">
        <v>1768</v>
      </c>
      <c r="L391" s="110" t="str">
        <f t="shared" ca="1" si="27"/>
        <v/>
      </c>
    </row>
    <row r="392" spans="1:12" outlineLevel="2" x14ac:dyDescent="0.2">
      <c r="A392" s="122" t="s">
        <v>1737</v>
      </c>
      <c r="B392" s="155" t="s">
        <v>807</v>
      </c>
      <c r="C392" s="155" t="s">
        <v>811</v>
      </c>
      <c r="D392" s="176">
        <v>1</v>
      </c>
      <c r="E392" s="69"/>
      <c r="F392" s="174"/>
      <c r="G392" s="175"/>
      <c r="H392" s="107"/>
      <c r="I392" s="202"/>
      <c r="J392" s="109" t="str">
        <f t="shared" si="26"/>
        <v/>
      </c>
      <c r="K392" s="109" t="s">
        <v>1768</v>
      </c>
      <c r="L392" s="110" t="str">
        <f t="shared" ca="1" si="27"/>
        <v/>
      </c>
    </row>
    <row r="393" spans="1:12" outlineLevel="2" x14ac:dyDescent="0.2">
      <c r="A393" s="122" t="s">
        <v>1738</v>
      </c>
      <c r="B393" s="155" t="s">
        <v>808</v>
      </c>
      <c r="C393" s="155" t="s">
        <v>812</v>
      </c>
      <c r="D393" s="176">
        <v>3</v>
      </c>
      <c r="E393" s="69"/>
      <c r="F393" s="174"/>
      <c r="G393" s="175"/>
      <c r="H393" s="107"/>
      <c r="I393" s="202"/>
      <c r="J393" s="109" t="str">
        <f t="shared" si="26"/>
        <v/>
      </c>
      <c r="K393" s="109" t="s">
        <v>1768</v>
      </c>
      <c r="L393" s="110" t="str">
        <f t="shared" ca="1" si="27"/>
        <v/>
      </c>
    </row>
    <row r="394" spans="1:12" outlineLevel="2" x14ac:dyDescent="0.2">
      <c r="A394" s="122" t="s">
        <v>1739</v>
      </c>
      <c r="B394" s="155" t="s">
        <v>809</v>
      </c>
      <c r="C394" s="155" t="s">
        <v>813</v>
      </c>
      <c r="D394" s="176">
        <v>1</v>
      </c>
      <c r="E394" s="69"/>
      <c r="F394" s="174"/>
      <c r="G394" s="175"/>
      <c r="H394" s="107"/>
      <c r="I394" s="202"/>
      <c r="J394" s="109" t="str">
        <f t="shared" si="26"/>
        <v/>
      </c>
      <c r="K394" s="109" t="s">
        <v>1768</v>
      </c>
      <c r="L394" s="110" t="str">
        <f t="shared" ca="1" si="27"/>
        <v/>
      </c>
    </row>
    <row r="395" spans="1:12" ht="13.5" outlineLevel="2" thickBot="1" x14ac:dyDescent="0.25">
      <c r="A395" s="122" t="s">
        <v>1740</v>
      </c>
      <c r="B395" s="165" t="s">
        <v>810</v>
      </c>
      <c r="C395" s="165" t="s">
        <v>814</v>
      </c>
      <c r="D395" s="177">
        <v>12</v>
      </c>
      <c r="E395" s="81"/>
      <c r="F395" s="178"/>
      <c r="G395" s="179"/>
      <c r="H395" s="108"/>
      <c r="I395" s="205"/>
      <c r="J395" s="129" t="str">
        <f t="shared" si="26"/>
        <v/>
      </c>
      <c r="K395" s="129" t="s">
        <v>1768</v>
      </c>
      <c r="L395" s="130" t="str">
        <f t="shared" ca="1" si="27"/>
        <v/>
      </c>
    </row>
    <row r="396" spans="1:12" outlineLevel="2" x14ac:dyDescent="0.2">
      <c r="A396" s="140"/>
      <c r="B396" s="144"/>
      <c r="C396" s="186"/>
      <c r="D396" s="150"/>
      <c r="E396" s="59"/>
      <c r="F396" s="180"/>
      <c r="G396" s="181"/>
      <c r="H396" s="114"/>
      <c r="I396" s="211"/>
      <c r="J396" s="203" t="str">
        <f t="shared" si="26"/>
        <v/>
      </c>
      <c r="K396" s="203" t="s">
        <v>1768</v>
      </c>
      <c r="L396" s="212" t="str">
        <f t="shared" ca="1" si="27"/>
        <v/>
      </c>
    </row>
    <row r="397" spans="1:12" ht="13.5" outlineLevel="2" thickBot="1" x14ac:dyDescent="0.25">
      <c r="A397" s="140"/>
      <c r="B397" s="83"/>
      <c r="C397" s="154"/>
      <c r="D397" s="151"/>
      <c r="E397" s="84"/>
      <c r="F397" s="182"/>
      <c r="G397" s="183"/>
      <c r="H397" s="115"/>
      <c r="I397" s="218"/>
      <c r="J397" s="219" t="str">
        <f t="shared" si="26"/>
        <v/>
      </c>
      <c r="K397" s="219" t="s">
        <v>1768</v>
      </c>
      <c r="L397" s="220" t="str">
        <f t="shared" ca="1" si="27"/>
        <v/>
      </c>
    </row>
    <row r="398" spans="1:12" outlineLevel="2" x14ac:dyDescent="0.2">
      <c r="A398" s="352">
        <v>13</v>
      </c>
      <c r="B398" s="354" t="s">
        <v>261</v>
      </c>
      <c r="C398" s="356" t="s">
        <v>262</v>
      </c>
      <c r="D398" s="358">
        <f>F399</f>
        <v>1</v>
      </c>
      <c r="E398" s="360">
        <v>490916.09</v>
      </c>
      <c r="F398" s="188">
        <v>490916.09</v>
      </c>
      <c r="G398" s="173"/>
      <c r="H398" s="379" t="s">
        <v>465</v>
      </c>
      <c r="I398" s="202"/>
      <c r="J398" s="109" t="str">
        <f t="shared" si="26"/>
        <v/>
      </c>
      <c r="K398" s="109" t="s">
        <v>1768</v>
      </c>
      <c r="L398" s="110" t="str">
        <f t="shared" ca="1" si="27"/>
        <v/>
      </c>
    </row>
    <row r="399" spans="1:12" outlineLevel="2" x14ac:dyDescent="0.2">
      <c r="A399" s="353"/>
      <c r="B399" s="355"/>
      <c r="C399" s="357"/>
      <c r="D399" s="359"/>
      <c r="E399" s="361">
        <v>1</v>
      </c>
      <c r="F399" s="174">
        <v>1</v>
      </c>
      <c r="G399" s="175"/>
      <c r="H399" s="366"/>
      <c r="I399" s="202"/>
      <c r="J399" s="109" t="str">
        <f t="shared" si="26"/>
        <v/>
      </c>
      <c r="K399" s="109" t="s">
        <v>1768</v>
      </c>
      <c r="L399" s="110" t="str">
        <f t="shared" ca="1" si="27"/>
        <v/>
      </c>
    </row>
    <row r="400" spans="1:12" outlineLevel="2" x14ac:dyDescent="0.2">
      <c r="A400" s="122" t="s">
        <v>1741</v>
      </c>
      <c r="B400" s="155" t="s">
        <v>815</v>
      </c>
      <c r="C400" s="155" t="s">
        <v>817</v>
      </c>
      <c r="D400" s="176">
        <v>1</v>
      </c>
      <c r="E400" s="69"/>
      <c r="F400" s="174"/>
      <c r="G400" s="175"/>
      <c r="H400" s="107"/>
      <c r="I400" s="202"/>
      <c r="J400" s="109" t="str">
        <f t="shared" si="26"/>
        <v/>
      </c>
      <c r="K400" s="109" t="s">
        <v>1768</v>
      </c>
      <c r="L400" s="110" t="str">
        <f t="shared" ca="1" si="27"/>
        <v/>
      </c>
    </row>
    <row r="401" spans="1:12" outlineLevel="2" x14ac:dyDescent="0.2">
      <c r="A401" s="122" t="s">
        <v>1742</v>
      </c>
      <c r="B401" s="155" t="s">
        <v>727</v>
      </c>
      <c r="C401" s="155" t="s">
        <v>792</v>
      </c>
      <c r="D401" s="176">
        <v>1</v>
      </c>
      <c r="E401" s="69"/>
      <c r="F401" s="174"/>
      <c r="G401" s="175"/>
      <c r="H401" s="107"/>
      <c r="I401" s="202"/>
      <c r="J401" s="109" t="str">
        <f t="shared" si="26"/>
        <v/>
      </c>
      <c r="K401" s="109" t="s">
        <v>1768</v>
      </c>
      <c r="L401" s="110" t="str">
        <f t="shared" ca="1" si="27"/>
        <v/>
      </c>
    </row>
    <row r="402" spans="1:12" ht="13.5" outlineLevel="2" thickBot="1" x14ac:dyDescent="0.25">
      <c r="A402" s="122" t="s">
        <v>1743</v>
      </c>
      <c r="B402" s="165" t="s">
        <v>816</v>
      </c>
      <c r="C402" s="165" t="s">
        <v>818</v>
      </c>
      <c r="D402" s="177">
        <v>1</v>
      </c>
      <c r="E402" s="81"/>
      <c r="F402" s="178"/>
      <c r="G402" s="179"/>
      <c r="H402" s="108"/>
      <c r="I402" s="205"/>
      <c r="J402" s="129" t="str">
        <f t="shared" si="26"/>
        <v/>
      </c>
      <c r="K402" s="129" t="s">
        <v>1768</v>
      </c>
      <c r="L402" s="130" t="str">
        <f t="shared" ca="1" si="27"/>
        <v/>
      </c>
    </row>
    <row r="403" spans="1:12" outlineLevel="2" x14ac:dyDescent="0.2">
      <c r="A403" s="140"/>
      <c r="B403" s="144"/>
      <c r="C403" s="153"/>
      <c r="D403" s="150"/>
      <c r="E403" s="59"/>
      <c r="F403" s="180"/>
      <c r="G403" s="181"/>
      <c r="H403" s="114"/>
      <c r="I403" s="211"/>
      <c r="J403" s="203" t="str">
        <f t="shared" si="26"/>
        <v/>
      </c>
      <c r="K403" s="203" t="s">
        <v>1768</v>
      </c>
      <c r="L403" s="212" t="str">
        <f t="shared" ca="1" si="27"/>
        <v/>
      </c>
    </row>
    <row r="404" spans="1:12" ht="13.5" outlineLevel="2" thickBot="1" x14ac:dyDescent="0.25">
      <c r="A404" s="140"/>
      <c r="B404" s="83"/>
      <c r="C404" s="154"/>
      <c r="D404" s="151"/>
      <c r="E404" s="84"/>
      <c r="F404" s="182"/>
      <c r="G404" s="183"/>
      <c r="H404" s="115"/>
      <c r="I404" s="218"/>
      <c r="J404" s="219" t="str">
        <f t="shared" si="26"/>
        <v/>
      </c>
      <c r="K404" s="219" t="s">
        <v>1768</v>
      </c>
      <c r="L404" s="220" t="str">
        <f t="shared" ca="1" si="27"/>
        <v/>
      </c>
    </row>
    <row r="405" spans="1:12" outlineLevel="2" x14ac:dyDescent="0.2">
      <c r="A405" s="352">
        <v>14</v>
      </c>
      <c r="B405" s="354" t="s">
        <v>263</v>
      </c>
      <c r="C405" s="356" t="s">
        <v>264</v>
      </c>
      <c r="D405" s="358">
        <f>F406</f>
        <v>1</v>
      </c>
      <c r="E405" s="360">
        <v>3347424.29</v>
      </c>
      <c r="F405" s="188">
        <v>3347424.29</v>
      </c>
      <c r="G405" s="173"/>
      <c r="H405" s="379" t="s">
        <v>466</v>
      </c>
      <c r="I405" s="202"/>
      <c r="J405" s="109" t="str">
        <f t="shared" si="26"/>
        <v/>
      </c>
      <c r="K405" s="109" t="s">
        <v>1768</v>
      </c>
      <c r="L405" s="110" t="str">
        <f t="shared" ca="1" si="27"/>
        <v/>
      </c>
    </row>
    <row r="406" spans="1:12" outlineLevel="2" x14ac:dyDescent="0.2">
      <c r="A406" s="353"/>
      <c r="B406" s="355"/>
      <c r="C406" s="357"/>
      <c r="D406" s="359"/>
      <c r="E406" s="361">
        <v>1</v>
      </c>
      <c r="F406" s="174">
        <v>1</v>
      </c>
      <c r="G406" s="175"/>
      <c r="H406" s="366"/>
      <c r="I406" s="202"/>
      <c r="J406" s="109" t="str">
        <f t="shared" si="26"/>
        <v/>
      </c>
      <c r="K406" s="109" t="s">
        <v>1768</v>
      </c>
      <c r="L406" s="110" t="str">
        <f t="shared" ca="1" si="27"/>
        <v/>
      </c>
    </row>
    <row r="407" spans="1:12" outlineLevel="2" x14ac:dyDescent="0.2">
      <c r="A407" s="122" t="s">
        <v>1019</v>
      </c>
      <c r="B407" s="155" t="s">
        <v>819</v>
      </c>
      <c r="C407" s="155" t="s">
        <v>847</v>
      </c>
      <c r="D407" s="176">
        <v>0</v>
      </c>
      <c r="E407" s="69"/>
      <c r="F407" s="174"/>
      <c r="G407" s="175"/>
      <c r="H407" s="107"/>
      <c r="I407" s="202"/>
      <c r="J407" s="109" t="str">
        <f t="shared" si="26"/>
        <v/>
      </c>
      <c r="K407" s="109" t="s">
        <v>1768</v>
      </c>
      <c r="L407" s="110" t="str">
        <f t="shared" ca="1" si="27"/>
        <v/>
      </c>
    </row>
    <row r="408" spans="1:12" outlineLevel="2" x14ac:dyDescent="0.2">
      <c r="A408" s="122" t="s">
        <v>1069</v>
      </c>
      <c r="B408" s="155" t="s">
        <v>1387</v>
      </c>
      <c r="C408" s="155"/>
      <c r="D408" s="176">
        <v>1</v>
      </c>
      <c r="E408" s="69"/>
      <c r="F408" s="174"/>
      <c r="G408" s="175"/>
      <c r="H408" s="107"/>
      <c r="I408" s="202" t="s">
        <v>1554</v>
      </c>
      <c r="J408" s="109" t="str">
        <f t="shared" si="26"/>
        <v>A</v>
      </c>
      <c r="K408" s="109" t="s">
        <v>1769</v>
      </c>
      <c r="L408" s="110">
        <f t="shared" ca="1" si="27"/>
        <v>46077</v>
      </c>
    </row>
    <row r="409" spans="1:12" outlineLevel="2" x14ac:dyDescent="0.2">
      <c r="A409" s="122" t="s">
        <v>1070</v>
      </c>
      <c r="B409" s="155" t="s">
        <v>1388</v>
      </c>
      <c r="C409" s="155"/>
      <c r="D409" s="176">
        <v>1</v>
      </c>
      <c r="E409" s="69"/>
      <c r="F409" s="174"/>
      <c r="G409" s="175"/>
      <c r="H409" s="107"/>
      <c r="I409" s="202" t="s">
        <v>1554</v>
      </c>
      <c r="J409" s="109" t="str">
        <f t="shared" si="26"/>
        <v>A</v>
      </c>
      <c r="K409" s="109" t="s">
        <v>1770</v>
      </c>
      <c r="L409" s="110">
        <f t="shared" ca="1" si="27"/>
        <v>46077</v>
      </c>
    </row>
    <row r="410" spans="1:12" outlineLevel="2" x14ac:dyDescent="0.2">
      <c r="A410" s="122" t="s">
        <v>1071</v>
      </c>
      <c r="B410" s="155" t="s">
        <v>1009</v>
      </c>
      <c r="C410" s="155"/>
      <c r="D410" s="176">
        <v>1</v>
      </c>
      <c r="E410" s="69"/>
      <c r="F410" s="174"/>
      <c r="G410" s="175"/>
      <c r="H410" s="107"/>
      <c r="I410" s="202" t="s">
        <v>1553</v>
      </c>
      <c r="J410" s="109" t="str">
        <f t="shared" si="26"/>
        <v>A</v>
      </c>
      <c r="K410" s="109" t="s">
        <v>1634</v>
      </c>
      <c r="L410" s="110">
        <f t="shared" ca="1" si="27"/>
        <v>46077</v>
      </c>
    </row>
    <row r="411" spans="1:12" outlineLevel="2" x14ac:dyDescent="0.2">
      <c r="A411" s="122" t="s">
        <v>1072</v>
      </c>
      <c r="B411" s="155" t="s">
        <v>1010</v>
      </c>
      <c r="C411" s="155"/>
      <c r="D411" s="176">
        <v>1</v>
      </c>
      <c r="E411" s="69"/>
      <c r="F411" s="174"/>
      <c r="G411" s="175"/>
      <c r="H411" s="107"/>
      <c r="I411" s="202" t="s">
        <v>1553</v>
      </c>
      <c r="J411" s="109" t="str">
        <f t="shared" si="26"/>
        <v>A</v>
      </c>
      <c r="K411" s="109" t="s">
        <v>1635</v>
      </c>
      <c r="L411" s="110">
        <f t="shared" ca="1" si="27"/>
        <v>46077</v>
      </c>
    </row>
    <row r="412" spans="1:12" outlineLevel="2" x14ac:dyDescent="0.2">
      <c r="A412" s="122" t="s">
        <v>1073</v>
      </c>
      <c r="B412" s="155" t="s">
        <v>1011</v>
      </c>
      <c r="C412" s="155"/>
      <c r="D412" s="176">
        <v>1</v>
      </c>
      <c r="E412" s="69"/>
      <c r="F412" s="174"/>
      <c r="G412" s="175"/>
      <c r="H412" s="107"/>
      <c r="I412" s="202" t="s">
        <v>1554</v>
      </c>
      <c r="J412" s="109" t="str">
        <f t="shared" si="26"/>
        <v>A</v>
      </c>
      <c r="K412" s="109" t="s">
        <v>1636</v>
      </c>
      <c r="L412" s="110">
        <f t="shared" ca="1" si="27"/>
        <v>46077</v>
      </c>
    </row>
    <row r="413" spans="1:12" outlineLevel="2" x14ac:dyDescent="0.2">
      <c r="A413" s="122" t="s">
        <v>1074</v>
      </c>
      <c r="B413" s="155" t="s">
        <v>1012</v>
      </c>
      <c r="C413" s="155"/>
      <c r="D413" s="176">
        <v>1</v>
      </c>
      <c r="E413" s="69"/>
      <c r="F413" s="174"/>
      <c r="G413" s="175"/>
      <c r="H413" s="107"/>
      <c r="I413" s="202" t="s">
        <v>1553</v>
      </c>
      <c r="J413" s="109" t="str">
        <f t="shared" si="26"/>
        <v>A</v>
      </c>
      <c r="K413" s="109" t="s">
        <v>1637</v>
      </c>
      <c r="L413" s="110">
        <f t="shared" ca="1" si="27"/>
        <v>46077</v>
      </c>
    </row>
    <row r="414" spans="1:12" outlineLevel="2" x14ac:dyDescent="0.2">
      <c r="A414" s="122" t="s">
        <v>1075</v>
      </c>
      <c r="B414" s="155" t="s">
        <v>1013</v>
      </c>
      <c r="C414" s="155"/>
      <c r="D414" s="176">
        <v>1</v>
      </c>
      <c r="E414" s="69"/>
      <c r="F414" s="174"/>
      <c r="G414" s="175"/>
      <c r="H414" s="107"/>
      <c r="I414" s="202" t="s">
        <v>1553</v>
      </c>
      <c r="J414" s="109" t="str">
        <f t="shared" si="26"/>
        <v>A</v>
      </c>
      <c r="K414" s="109" t="s">
        <v>1638</v>
      </c>
      <c r="L414" s="110">
        <f t="shared" ca="1" si="27"/>
        <v>46077</v>
      </c>
    </row>
    <row r="415" spans="1:12" outlineLevel="2" x14ac:dyDescent="0.2">
      <c r="A415" s="122" t="s">
        <v>1076</v>
      </c>
      <c r="B415" s="155" t="s">
        <v>1014</v>
      </c>
      <c r="C415" s="155"/>
      <c r="D415" s="176">
        <v>1</v>
      </c>
      <c r="E415" s="69"/>
      <c r="F415" s="174"/>
      <c r="G415" s="175"/>
      <c r="H415" s="107"/>
      <c r="I415" s="202" t="s">
        <v>1553</v>
      </c>
      <c r="J415" s="109" t="str">
        <f t="shared" si="26"/>
        <v>A</v>
      </c>
      <c r="K415" s="109" t="s">
        <v>1639</v>
      </c>
      <c r="L415" s="110">
        <f t="shared" ca="1" si="27"/>
        <v>46077</v>
      </c>
    </row>
    <row r="416" spans="1:12" outlineLevel="2" x14ac:dyDescent="0.2">
      <c r="A416" s="122" t="s">
        <v>1077</v>
      </c>
      <c r="B416" s="155" t="s">
        <v>1015</v>
      </c>
      <c r="C416" s="155"/>
      <c r="D416" s="176">
        <v>1</v>
      </c>
      <c r="E416" s="69"/>
      <c r="F416" s="174"/>
      <c r="G416" s="175"/>
      <c r="H416" s="107"/>
      <c r="I416" s="202" t="s">
        <v>1553</v>
      </c>
      <c r="J416" s="109" t="str">
        <f t="shared" si="26"/>
        <v>A</v>
      </c>
      <c r="K416" s="109" t="s">
        <v>1640</v>
      </c>
      <c r="L416" s="110">
        <f t="shared" ca="1" si="27"/>
        <v>46077</v>
      </c>
    </row>
    <row r="417" spans="1:12" outlineLevel="2" x14ac:dyDescent="0.2">
      <c r="A417" s="122" t="s">
        <v>1078</v>
      </c>
      <c r="B417" s="155" t="s">
        <v>1016</v>
      </c>
      <c r="C417" s="155"/>
      <c r="D417" s="176">
        <v>1</v>
      </c>
      <c r="E417" s="69"/>
      <c r="F417" s="174"/>
      <c r="G417" s="175"/>
      <c r="H417" s="107"/>
      <c r="I417" s="202" t="s">
        <v>1554</v>
      </c>
      <c r="J417" s="109" t="str">
        <f t="shared" si="26"/>
        <v>A</v>
      </c>
      <c r="K417" s="109" t="s">
        <v>1641</v>
      </c>
      <c r="L417" s="110">
        <f t="shared" ca="1" si="27"/>
        <v>46077</v>
      </c>
    </row>
    <row r="418" spans="1:12" outlineLevel="2" x14ac:dyDescent="0.2">
      <c r="A418" s="122" t="s">
        <v>1079</v>
      </c>
      <c r="B418" s="155" t="s">
        <v>1017</v>
      </c>
      <c r="C418" s="155"/>
      <c r="D418" s="176">
        <v>1</v>
      </c>
      <c r="E418" s="69"/>
      <c r="F418" s="174"/>
      <c r="G418" s="175"/>
      <c r="H418" s="107"/>
      <c r="I418" s="202" t="s">
        <v>1554</v>
      </c>
      <c r="J418" s="109" t="str">
        <f t="shared" si="26"/>
        <v>A</v>
      </c>
      <c r="K418" s="109" t="s">
        <v>1642</v>
      </c>
      <c r="L418" s="110">
        <f t="shared" ca="1" si="27"/>
        <v>46077</v>
      </c>
    </row>
    <row r="419" spans="1:12" outlineLevel="2" x14ac:dyDescent="0.2">
      <c r="A419" s="122" t="s">
        <v>1080</v>
      </c>
      <c r="B419" s="155" t="s">
        <v>1018</v>
      </c>
      <c r="C419" s="155"/>
      <c r="D419" s="176">
        <v>1</v>
      </c>
      <c r="E419" s="69"/>
      <c r="F419" s="174"/>
      <c r="G419" s="175"/>
      <c r="H419" s="107"/>
      <c r="I419" s="202" t="s">
        <v>1554</v>
      </c>
      <c r="J419" s="109" t="str">
        <f t="shared" ref="J419:J482" si="28">IF(I419="","", "A")</f>
        <v>A</v>
      </c>
      <c r="K419" s="109" t="s">
        <v>1643</v>
      </c>
      <c r="L419" s="110">
        <f t="shared" ref="L419:L482" ca="1" si="29">IF(I419="","",TODAY())</f>
        <v>46077</v>
      </c>
    </row>
    <row r="420" spans="1:12" outlineLevel="2" x14ac:dyDescent="0.2">
      <c r="A420" s="122" t="s">
        <v>1081</v>
      </c>
      <c r="B420" s="155" t="s">
        <v>1095</v>
      </c>
      <c r="C420" s="155"/>
      <c r="D420" s="176">
        <v>1</v>
      </c>
      <c r="E420" s="69"/>
      <c r="F420" s="174"/>
      <c r="G420" s="175"/>
      <c r="H420" s="107"/>
      <c r="I420" s="202" t="s">
        <v>1553</v>
      </c>
      <c r="J420" s="109" t="str">
        <f t="shared" si="28"/>
        <v>A</v>
      </c>
      <c r="K420" s="109" t="s">
        <v>1644</v>
      </c>
      <c r="L420" s="110">
        <f t="shared" ca="1" si="29"/>
        <v>46077</v>
      </c>
    </row>
    <row r="421" spans="1:12" outlineLevel="2" x14ac:dyDescent="0.2">
      <c r="A421" s="122" t="s">
        <v>1082</v>
      </c>
      <c r="B421" s="155" t="s">
        <v>1096</v>
      </c>
      <c r="C421" s="155"/>
      <c r="D421" s="176">
        <v>1</v>
      </c>
      <c r="E421" s="69"/>
      <c r="F421" s="174"/>
      <c r="G421" s="175"/>
      <c r="H421" s="107"/>
      <c r="I421" s="202" t="s">
        <v>1553</v>
      </c>
      <c r="J421" s="109" t="str">
        <f t="shared" si="28"/>
        <v>A</v>
      </c>
      <c r="K421" s="109" t="s">
        <v>1645</v>
      </c>
      <c r="L421" s="110">
        <f t="shared" ca="1" si="29"/>
        <v>46077</v>
      </c>
    </row>
    <row r="422" spans="1:12" outlineLevel="2" x14ac:dyDescent="0.2">
      <c r="A422" s="122" t="s">
        <v>1083</v>
      </c>
      <c r="B422" s="155" t="s">
        <v>1097</v>
      </c>
      <c r="C422" s="155"/>
      <c r="D422" s="176">
        <v>1</v>
      </c>
      <c r="E422" s="69"/>
      <c r="F422" s="174"/>
      <c r="G422" s="175"/>
      <c r="H422" s="107"/>
      <c r="I422" s="202" t="s">
        <v>1554</v>
      </c>
      <c r="J422" s="109" t="str">
        <f t="shared" si="28"/>
        <v>A</v>
      </c>
      <c r="K422" s="109" t="s">
        <v>1646</v>
      </c>
      <c r="L422" s="110">
        <f t="shared" ca="1" si="29"/>
        <v>46077</v>
      </c>
    </row>
    <row r="423" spans="1:12" outlineLevel="2" x14ac:dyDescent="0.2">
      <c r="A423" s="122" t="s">
        <v>1084</v>
      </c>
      <c r="B423" s="155" t="s">
        <v>1098</v>
      </c>
      <c r="C423" s="155"/>
      <c r="D423" s="176">
        <v>1</v>
      </c>
      <c r="E423" s="69"/>
      <c r="F423" s="174"/>
      <c r="G423" s="175"/>
      <c r="H423" s="107"/>
      <c r="I423" s="202" t="s">
        <v>1553</v>
      </c>
      <c r="J423" s="109" t="str">
        <f t="shared" si="28"/>
        <v>A</v>
      </c>
      <c r="K423" s="109" t="s">
        <v>1647</v>
      </c>
      <c r="L423" s="110">
        <f t="shared" ca="1" si="29"/>
        <v>46077</v>
      </c>
    </row>
    <row r="424" spans="1:12" outlineLevel="2" x14ac:dyDescent="0.2">
      <c r="A424" s="122" t="s">
        <v>1085</v>
      </c>
      <c r="B424" s="155" t="s">
        <v>1100</v>
      </c>
      <c r="C424" s="155"/>
      <c r="D424" s="176">
        <v>3</v>
      </c>
      <c r="E424" s="69"/>
      <c r="F424" s="174"/>
      <c r="G424" s="175"/>
      <c r="H424" s="107"/>
      <c r="I424" s="202" t="s">
        <v>1553</v>
      </c>
      <c r="J424" s="109" t="str">
        <f t="shared" si="28"/>
        <v>A</v>
      </c>
      <c r="K424" s="109" t="s">
        <v>1648</v>
      </c>
      <c r="L424" s="110">
        <f t="shared" ca="1" si="29"/>
        <v>46077</v>
      </c>
    </row>
    <row r="425" spans="1:12" outlineLevel="2" x14ac:dyDescent="0.2">
      <c r="A425" s="122" t="s">
        <v>1086</v>
      </c>
      <c r="B425" s="155" t="s">
        <v>1099</v>
      </c>
      <c r="C425" s="155"/>
      <c r="D425" s="176">
        <v>1</v>
      </c>
      <c r="E425" s="69"/>
      <c r="F425" s="174"/>
      <c r="G425" s="175"/>
      <c r="H425" s="107"/>
      <c r="I425" s="202" t="s">
        <v>1553</v>
      </c>
      <c r="J425" s="109" t="str">
        <f t="shared" si="28"/>
        <v>A</v>
      </c>
      <c r="K425" s="109" t="s">
        <v>1649</v>
      </c>
      <c r="L425" s="110">
        <f t="shared" ca="1" si="29"/>
        <v>46077</v>
      </c>
    </row>
    <row r="426" spans="1:12" outlineLevel="2" x14ac:dyDescent="0.2">
      <c r="A426" s="122" t="s">
        <v>1087</v>
      </c>
      <c r="B426" s="155" t="s">
        <v>1101</v>
      </c>
      <c r="C426" s="155"/>
      <c r="D426" s="176">
        <v>1</v>
      </c>
      <c r="E426" s="69"/>
      <c r="F426" s="174"/>
      <c r="G426" s="175"/>
      <c r="H426" s="107"/>
      <c r="I426" s="202" t="s">
        <v>1553</v>
      </c>
      <c r="J426" s="109" t="str">
        <f t="shared" si="28"/>
        <v>A</v>
      </c>
      <c r="K426" s="109" t="s">
        <v>1650</v>
      </c>
      <c r="L426" s="110">
        <f t="shared" ca="1" si="29"/>
        <v>46077</v>
      </c>
    </row>
    <row r="427" spans="1:12" outlineLevel="2" x14ac:dyDescent="0.2">
      <c r="A427" s="122" t="s">
        <v>1088</v>
      </c>
      <c r="B427" s="155" t="s">
        <v>1102</v>
      </c>
      <c r="C427" s="155"/>
      <c r="D427" s="176">
        <v>1</v>
      </c>
      <c r="E427" s="69"/>
      <c r="F427" s="174"/>
      <c r="G427" s="175"/>
      <c r="H427" s="107"/>
      <c r="I427" s="202" t="s">
        <v>1553</v>
      </c>
      <c r="J427" s="109" t="str">
        <f t="shared" si="28"/>
        <v>A</v>
      </c>
      <c r="K427" s="109" t="s">
        <v>1651</v>
      </c>
      <c r="L427" s="110">
        <f t="shared" ca="1" si="29"/>
        <v>46077</v>
      </c>
    </row>
    <row r="428" spans="1:12" outlineLevel="2" x14ac:dyDescent="0.2">
      <c r="A428" s="122" t="s">
        <v>1089</v>
      </c>
      <c r="B428" s="155" t="s">
        <v>1103</v>
      </c>
      <c r="C428" s="155"/>
      <c r="D428" s="176">
        <v>1</v>
      </c>
      <c r="E428" s="69"/>
      <c r="F428" s="174"/>
      <c r="G428" s="175"/>
      <c r="H428" s="107"/>
      <c r="I428" s="202" t="s">
        <v>1553</v>
      </c>
      <c r="J428" s="109" t="str">
        <f t="shared" si="28"/>
        <v>A</v>
      </c>
      <c r="K428" s="109" t="s">
        <v>1652</v>
      </c>
      <c r="L428" s="110">
        <f t="shared" ca="1" si="29"/>
        <v>46077</v>
      </c>
    </row>
    <row r="429" spans="1:12" outlineLevel="2" x14ac:dyDescent="0.2">
      <c r="A429" s="122" t="s">
        <v>1090</v>
      </c>
      <c r="B429" s="155" t="s">
        <v>1104</v>
      </c>
      <c r="C429" s="155"/>
      <c r="D429" s="176">
        <v>1</v>
      </c>
      <c r="E429" s="69"/>
      <c r="F429" s="174"/>
      <c r="G429" s="175"/>
      <c r="H429" s="107"/>
      <c r="I429" s="202" t="s">
        <v>1553</v>
      </c>
      <c r="J429" s="109" t="str">
        <f t="shared" si="28"/>
        <v>A</v>
      </c>
      <c r="K429" s="109" t="s">
        <v>1653</v>
      </c>
      <c r="L429" s="110">
        <f t="shared" ca="1" si="29"/>
        <v>46077</v>
      </c>
    </row>
    <row r="430" spans="1:12" outlineLevel="2" x14ac:dyDescent="0.2">
      <c r="A430" s="194" t="s">
        <v>1091</v>
      </c>
      <c r="B430" s="155" t="s">
        <v>1105</v>
      </c>
      <c r="C430" s="155"/>
      <c r="D430" s="176">
        <v>1</v>
      </c>
      <c r="E430" s="69"/>
      <c r="F430" s="174"/>
      <c r="G430" s="175"/>
      <c r="H430" s="107"/>
      <c r="I430" s="202" t="s">
        <v>1553</v>
      </c>
      <c r="J430" s="109" t="str">
        <f t="shared" si="28"/>
        <v>A</v>
      </c>
      <c r="K430" s="109" t="s">
        <v>1654</v>
      </c>
      <c r="L430" s="110">
        <f t="shared" ca="1" si="29"/>
        <v>46077</v>
      </c>
    </row>
    <row r="431" spans="1:12" outlineLevel="2" x14ac:dyDescent="0.2">
      <c r="A431" s="194" t="s">
        <v>1092</v>
      </c>
      <c r="B431" s="155" t="s">
        <v>1106</v>
      </c>
      <c r="C431" s="155"/>
      <c r="D431" s="176">
        <v>1</v>
      </c>
      <c r="E431" s="69"/>
      <c r="F431" s="174"/>
      <c r="G431" s="175"/>
      <c r="H431" s="107"/>
      <c r="I431" s="202" t="s">
        <v>1554</v>
      </c>
      <c r="J431" s="109" t="str">
        <f t="shared" si="28"/>
        <v>A</v>
      </c>
      <c r="K431" s="109" t="s">
        <v>1655</v>
      </c>
      <c r="L431" s="110">
        <f t="shared" ca="1" si="29"/>
        <v>46077</v>
      </c>
    </row>
    <row r="432" spans="1:12" outlineLevel="2" x14ac:dyDescent="0.2">
      <c r="A432" s="194" t="s">
        <v>1093</v>
      </c>
      <c r="B432" s="155" t="s">
        <v>1107</v>
      </c>
      <c r="C432" s="155"/>
      <c r="D432" s="176">
        <v>1</v>
      </c>
      <c r="E432" s="69"/>
      <c r="F432" s="174"/>
      <c r="G432" s="175"/>
      <c r="H432" s="107"/>
      <c r="I432" s="202" t="s">
        <v>1554</v>
      </c>
      <c r="J432" s="109" t="str">
        <f t="shared" si="28"/>
        <v>A</v>
      </c>
      <c r="K432" s="109" t="s">
        <v>1656</v>
      </c>
      <c r="L432" s="110">
        <f t="shared" ca="1" si="29"/>
        <v>46077</v>
      </c>
    </row>
    <row r="433" spans="1:12" outlineLevel="2" x14ac:dyDescent="0.2">
      <c r="A433" s="194" t="s">
        <v>1094</v>
      </c>
      <c r="B433" s="155" t="s">
        <v>1108</v>
      </c>
      <c r="C433" s="155"/>
      <c r="D433" s="176">
        <v>1</v>
      </c>
      <c r="E433" s="69"/>
      <c r="F433" s="174"/>
      <c r="G433" s="175"/>
      <c r="H433" s="107"/>
      <c r="I433" s="202" t="s">
        <v>1553</v>
      </c>
      <c r="J433" s="109" t="str">
        <f t="shared" si="28"/>
        <v>A</v>
      </c>
      <c r="K433" s="109" t="s">
        <v>1657</v>
      </c>
      <c r="L433" s="110">
        <f t="shared" ca="1" si="29"/>
        <v>46077</v>
      </c>
    </row>
    <row r="434" spans="1:12" outlineLevel="2" x14ac:dyDescent="0.2">
      <c r="A434" s="194" t="s">
        <v>1112</v>
      </c>
      <c r="B434" s="155" t="s">
        <v>1109</v>
      </c>
      <c r="C434" s="155"/>
      <c r="D434" s="176">
        <v>1</v>
      </c>
      <c r="E434" s="69"/>
      <c r="F434" s="174"/>
      <c r="G434" s="175"/>
      <c r="H434" s="107"/>
      <c r="I434" s="202" t="s">
        <v>1554</v>
      </c>
      <c r="J434" s="109" t="str">
        <f t="shared" si="28"/>
        <v>A</v>
      </c>
      <c r="K434" s="109" t="s">
        <v>1658</v>
      </c>
      <c r="L434" s="110">
        <f t="shared" ca="1" si="29"/>
        <v>46077</v>
      </c>
    </row>
    <row r="435" spans="1:12" outlineLevel="2" x14ac:dyDescent="0.2">
      <c r="A435" s="194" t="s">
        <v>1113</v>
      </c>
      <c r="B435" s="155" t="s">
        <v>1110</v>
      </c>
      <c r="C435" s="155"/>
      <c r="D435" s="176">
        <v>1</v>
      </c>
      <c r="E435" s="69"/>
      <c r="F435" s="174"/>
      <c r="G435" s="175"/>
      <c r="H435" s="107"/>
      <c r="I435" s="202" t="s">
        <v>1554</v>
      </c>
      <c r="J435" s="109" t="str">
        <f t="shared" si="28"/>
        <v>A</v>
      </c>
      <c r="K435" s="109" t="s">
        <v>1771</v>
      </c>
      <c r="L435" s="110">
        <f t="shared" ca="1" si="29"/>
        <v>46077</v>
      </c>
    </row>
    <row r="436" spans="1:12" outlineLevel="2" x14ac:dyDescent="0.2">
      <c r="A436" s="194" t="s">
        <v>1114</v>
      </c>
      <c r="B436" s="155" t="s">
        <v>1111</v>
      </c>
      <c r="C436" s="155"/>
      <c r="D436" s="176">
        <v>1</v>
      </c>
      <c r="E436" s="69"/>
      <c r="F436" s="174"/>
      <c r="G436" s="175"/>
      <c r="H436" s="107"/>
      <c r="I436" s="202" t="s">
        <v>1553</v>
      </c>
      <c r="J436" s="109" t="str">
        <f t="shared" si="28"/>
        <v>A</v>
      </c>
      <c r="K436" s="109" t="s">
        <v>1619</v>
      </c>
      <c r="L436" s="110">
        <f t="shared" ca="1" si="29"/>
        <v>46077</v>
      </c>
    </row>
    <row r="437" spans="1:12" outlineLevel="2" x14ac:dyDescent="0.2">
      <c r="A437" s="194" t="s">
        <v>1115</v>
      </c>
      <c r="B437" s="155" t="s">
        <v>1119</v>
      </c>
      <c r="C437" s="155"/>
      <c r="D437" s="176">
        <v>3</v>
      </c>
      <c r="E437" s="69"/>
      <c r="F437" s="174"/>
      <c r="G437" s="175"/>
      <c r="H437" s="107"/>
      <c r="I437" s="202" t="s">
        <v>1553</v>
      </c>
      <c r="J437" s="109" t="str">
        <f t="shared" si="28"/>
        <v>A</v>
      </c>
      <c r="K437" s="109" t="s">
        <v>1620</v>
      </c>
      <c r="L437" s="110">
        <f t="shared" ca="1" si="29"/>
        <v>46077</v>
      </c>
    </row>
    <row r="438" spans="1:12" outlineLevel="2" x14ac:dyDescent="0.2">
      <c r="A438" s="194" t="s">
        <v>1116</v>
      </c>
      <c r="B438" s="155" t="s">
        <v>1120</v>
      </c>
      <c r="C438" s="155"/>
      <c r="D438" s="176">
        <v>2</v>
      </c>
      <c r="E438" s="69"/>
      <c r="F438" s="174"/>
      <c r="G438" s="175"/>
      <c r="H438" s="107"/>
      <c r="I438" s="202" t="s">
        <v>1553</v>
      </c>
      <c r="J438" s="109" t="str">
        <f t="shared" si="28"/>
        <v>A</v>
      </c>
      <c r="K438" s="109" t="s">
        <v>1621</v>
      </c>
      <c r="L438" s="110">
        <f t="shared" ca="1" si="29"/>
        <v>46077</v>
      </c>
    </row>
    <row r="439" spans="1:12" outlineLevel="2" x14ac:dyDescent="0.2">
      <c r="A439" s="194" t="s">
        <v>1117</v>
      </c>
      <c r="B439" s="155" t="s">
        <v>1121</v>
      </c>
      <c r="C439" s="155"/>
      <c r="D439" s="176">
        <v>1</v>
      </c>
      <c r="E439" s="69"/>
      <c r="F439" s="174"/>
      <c r="G439" s="175"/>
      <c r="H439" s="107"/>
      <c r="I439" s="202" t="s">
        <v>1553</v>
      </c>
      <c r="J439" s="109" t="str">
        <f t="shared" si="28"/>
        <v>A</v>
      </c>
      <c r="K439" s="109" t="s">
        <v>1622</v>
      </c>
      <c r="L439" s="110">
        <f t="shared" ca="1" si="29"/>
        <v>46077</v>
      </c>
    </row>
    <row r="440" spans="1:12" outlineLevel="2" x14ac:dyDescent="0.2">
      <c r="A440" s="194" t="s">
        <v>1118</v>
      </c>
      <c r="B440" s="155" t="s">
        <v>1122</v>
      </c>
      <c r="C440" s="155"/>
      <c r="D440" s="176">
        <v>1</v>
      </c>
      <c r="E440" s="69"/>
      <c r="F440" s="174"/>
      <c r="G440" s="175"/>
      <c r="H440" s="107"/>
      <c r="I440" s="202" t="s">
        <v>1554</v>
      </c>
      <c r="J440" s="109" t="str">
        <f t="shared" si="28"/>
        <v>A</v>
      </c>
      <c r="K440" s="109" t="s">
        <v>1623</v>
      </c>
      <c r="L440" s="110">
        <f t="shared" ca="1" si="29"/>
        <v>46077</v>
      </c>
    </row>
    <row r="441" spans="1:12" outlineLevel="2" x14ac:dyDescent="0.2">
      <c r="A441" s="194" t="s">
        <v>1124</v>
      </c>
      <c r="B441" s="155" t="s">
        <v>1123</v>
      </c>
      <c r="C441" s="155"/>
      <c r="D441" s="176">
        <v>1</v>
      </c>
      <c r="E441" s="69"/>
      <c r="F441" s="174"/>
      <c r="G441" s="175"/>
      <c r="H441" s="107"/>
      <c r="I441" s="202" t="s">
        <v>1554</v>
      </c>
      <c r="J441" s="109" t="str">
        <f t="shared" si="28"/>
        <v>A</v>
      </c>
      <c r="K441" s="109" t="s">
        <v>1624</v>
      </c>
      <c r="L441" s="110">
        <f t="shared" ca="1" si="29"/>
        <v>46077</v>
      </c>
    </row>
    <row r="442" spans="1:12" outlineLevel="2" x14ac:dyDescent="0.2">
      <c r="A442" s="194" t="s">
        <v>1138</v>
      </c>
      <c r="B442" s="155" t="s">
        <v>1140</v>
      </c>
      <c r="C442" s="155"/>
      <c r="D442" s="176">
        <v>1</v>
      </c>
      <c r="E442" s="69"/>
      <c r="F442" s="174"/>
      <c r="G442" s="175"/>
      <c r="H442" s="107"/>
      <c r="I442" s="202" t="s">
        <v>1553</v>
      </c>
      <c r="J442" s="109" t="str">
        <f t="shared" si="28"/>
        <v>A</v>
      </c>
      <c r="K442" s="109" t="s">
        <v>1625</v>
      </c>
      <c r="L442" s="110">
        <f t="shared" ca="1" si="29"/>
        <v>46077</v>
      </c>
    </row>
    <row r="443" spans="1:12" outlineLevel="2" x14ac:dyDescent="0.2">
      <c r="A443" s="194" t="s">
        <v>1139</v>
      </c>
      <c r="B443" s="155" t="s">
        <v>1141</v>
      </c>
      <c r="C443" s="155"/>
      <c r="D443" s="176">
        <v>1</v>
      </c>
      <c r="E443" s="69"/>
      <c r="F443" s="174"/>
      <c r="G443" s="175"/>
      <c r="H443" s="107"/>
      <c r="I443" s="202" t="s">
        <v>1553</v>
      </c>
      <c r="J443" s="109" t="str">
        <f t="shared" si="28"/>
        <v>A</v>
      </c>
      <c r="K443" s="109" t="s">
        <v>1626</v>
      </c>
      <c r="L443" s="110">
        <f t="shared" ca="1" si="29"/>
        <v>46077</v>
      </c>
    </row>
    <row r="444" spans="1:12" outlineLevel="2" x14ac:dyDescent="0.2">
      <c r="A444" s="195" t="s">
        <v>1125</v>
      </c>
      <c r="B444" s="155" t="s">
        <v>1126</v>
      </c>
      <c r="C444" s="155"/>
      <c r="D444" s="176">
        <v>1</v>
      </c>
      <c r="E444" s="69"/>
      <c r="F444" s="174"/>
      <c r="G444" s="175"/>
      <c r="H444" s="107"/>
      <c r="I444" s="202" t="s">
        <v>1554</v>
      </c>
      <c r="J444" s="109" t="str">
        <f t="shared" si="28"/>
        <v>A</v>
      </c>
      <c r="K444" s="109" t="s">
        <v>1627</v>
      </c>
      <c r="L444" s="110">
        <f t="shared" ca="1" si="29"/>
        <v>46077</v>
      </c>
    </row>
    <row r="445" spans="1:12" outlineLevel="2" x14ac:dyDescent="0.2">
      <c r="A445" s="195" t="s">
        <v>1131</v>
      </c>
      <c r="B445" s="155" t="s">
        <v>1137</v>
      </c>
      <c r="C445" s="155"/>
      <c r="D445" s="176">
        <v>1</v>
      </c>
      <c r="E445" s="69"/>
      <c r="F445" s="174"/>
      <c r="G445" s="175"/>
      <c r="H445" s="107"/>
      <c r="I445" s="202" t="s">
        <v>1552</v>
      </c>
      <c r="J445" s="109" t="str">
        <f t="shared" si="28"/>
        <v>A</v>
      </c>
      <c r="K445" s="109" t="s">
        <v>1628</v>
      </c>
      <c r="L445" s="110">
        <f t="shared" ca="1" si="29"/>
        <v>46077</v>
      </c>
    </row>
    <row r="446" spans="1:12" outlineLevel="2" x14ac:dyDescent="0.2">
      <c r="A446" s="195" t="s">
        <v>1132</v>
      </c>
      <c r="B446" s="155" t="s">
        <v>1144</v>
      </c>
      <c r="C446" s="155"/>
      <c r="D446" s="176">
        <v>1</v>
      </c>
      <c r="E446" s="69"/>
      <c r="F446" s="174"/>
      <c r="G446" s="175"/>
      <c r="H446" s="107"/>
      <c r="I446" s="202" t="s">
        <v>1552</v>
      </c>
      <c r="J446" s="109" t="str">
        <f t="shared" si="28"/>
        <v>A</v>
      </c>
      <c r="K446" s="109" t="s">
        <v>1629</v>
      </c>
      <c r="L446" s="110">
        <f t="shared" ca="1" si="29"/>
        <v>46077</v>
      </c>
    </row>
    <row r="447" spans="1:12" outlineLevel="2" x14ac:dyDescent="0.2">
      <c r="A447" s="195" t="s">
        <v>1133</v>
      </c>
      <c r="B447" s="155" t="s">
        <v>1127</v>
      </c>
      <c r="C447" s="155"/>
      <c r="D447" s="176">
        <v>1</v>
      </c>
      <c r="E447" s="69"/>
      <c r="F447" s="174"/>
      <c r="G447" s="175"/>
      <c r="H447" s="107"/>
      <c r="I447" s="202" t="s">
        <v>1552</v>
      </c>
      <c r="J447" s="109" t="str">
        <f t="shared" si="28"/>
        <v>A</v>
      </c>
      <c r="K447" s="109" t="s">
        <v>1630</v>
      </c>
      <c r="L447" s="110">
        <f t="shared" ca="1" si="29"/>
        <v>46077</v>
      </c>
    </row>
    <row r="448" spans="1:12" outlineLevel="2" x14ac:dyDescent="0.2">
      <c r="A448" s="195" t="s">
        <v>1134</v>
      </c>
      <c r="B448" s="155" t="s">
        <v>1128</v>
      </c>
      <c r="C448" s="155"/>
      <c r="D448" s="176">
        <v>1</v>
      </c>
      <c r="E448" s="69"/>
      <c r="F448" s="174"/>
      <c r="G448" s="175"/>
      <c r="H448" s="107"/>
      <c r="I448" s="202" t="s">
        <v>1556</v>
      </c>
      <c r="J448" s="109" t="str">
        <f t="shared" si="28"/>
        <v>A</v>
      </c>
      <c r="K448" s="109" t="s">
        <v>1631</v>
      </c>
      <c r="L448" s="110">
        <f t="shared" ca="1" si="29"/>
        <v>46077</v>
      </c>
    </row>
    <row r="449" spans="1:12" outlineLevel="2" x14ac:dyDescent="0.2">
      <c r="A449" s="195" t="s">
        <v>1135</v>
      </c>
      <c r="B449" s="155" t="s">
        <v>1129</v>
      </c>
      <c r="C449" s="155"/>
      <c r="D449" s="176">
        <v>1</v>
      </c>
      <c r="E449" s="69"/>
      <c r="F449" s="174"/>
      <c r="G449" s="175"/>
      <c r="H449" s="107"/>
      <c r="I449" s="202" t="s">
        <v>1552</v>
      </c>
      <c r="J449" s="109" t="str">
        <f t="shared" si="28"/>
        <v>A</v>
      </c>
      <c r="K449" s="109" t="s">
        <v>1632</v>
      </c>
      <c r="L449" s="110">
        <f t="shared" ca="1" si="29"/>
        <v>46077</v>
      </c>
    </row>
    <row r="450" spans="1:12" outlineLevel="2" x14ac:dyDescent="0.2">
      <c r="A450" s="122" t="s">
        <v>1136</v>
      </c>
      <c r="B450" s="155" t="s">
        <v>1130</v>
      </c>
      <c r="C450" s="155"/>
      <c r="D450" s="176">
        <v>1</v>
      </c>
      <c r="E450" s="69"/>
      <c r="F450" s="174"/>
      <c r="G450" s="175"/>
      <c r="H450" s="107"/>
      <c r="I450" s="202" t="s">
        <v>1552</v>
      </c>
      <c r="J450" s="109" t="str">
        <f t="shared" si="28"/>
        <v>A</v>
      </c>
      <c r="K450" s="109" t="s">
        <v>1633</v>
      </c>
      <c r="L450" s="110">
        <f t="shared" ca="1" si="29"/>
        <v>46077</v>
      </c>
    </row>
    <row r="451" spans="1:12" outlineLevel="2" x14ac:dyDescent="0.2">
      <c r="A451" s="122" t="s">
        <v>1360</v>
      </c>
      <c r="B451" s="155" t="s">
        <v>820</v>
      </c>
      <c r="C451" s="155" t="s">
        <v>848</v>
      </c>
      <c r="D451" s="176">
        <v>1</v>
      </c>
      <c r="E451" s="69"/>
      <c r="F451" s="174"/>
      <c r="G451" s="175"/>
      <c r="H451" s="107"/>
      <c r="I451" s="202"/>
      <c r="J451" s="109" t="str">
        <f t="shared" si="28"/>
        <v/>
      </c>
      <c r="K451" s="109" t="s">
        <v>1768</v>
      </c>
      <c r="L451" s="110" t="str">
        <f t="shared" ca="1" si="29"/>
        <v/>
      </c>
    </row>
    <row r="452" spans="1:12" outlineLevel="2" x14ac:dyDescent="0.2">
      <c r="A452" s="122" t="s">
        <v>1361</v>
      </c>
      <c r="B452" s="155" t="s">
        <v>821</v>
      </c>
      <c r="C452" s="155" t="s">
        <v>849</v>
      </c>
      <c r="D452" s="176">
        <v>1</v>
      </c>
      <c r="E452" s="69"/>
      <c r="F452" s="174"/>
      <c r="G452" s="175"/>
      <c r="H452" s="107"/>
      <c r="I452" s="202"/>
      <c r="J452" s="109" t="str">
        <f t="shared" si="28"/>
        <v/>
      </c>
      <c r="K452" s="109" t="s">
        <v>1768</v>
      </c>
      <c r="L452" s="110" t="str">
        <f t="shared" ca="1" si="29"/>
        <v/>
      </c>
    </row>
    <row r="453" spans="1:12" outlineLevel="2" x14ac:dyDescent="0.2">
      <c r="A453" s="122" t="s">
        <v>1362</v>
      </c>
      <c r="B453" s="155" t="s">
        <v>822</v>
      </c>
      <c r="C453" s="155" t="s">
        <v>850</v>
      </c>
      <c r="D453" s="176">
        <v>1</v>
      </c>
      <c r="E453" s="69"/>
      <c r="F453" s="174"/>
      <c r="G453" s="175"/>
      <c r="H453" s="107"/>
      <c r="I453" s="202"/>
      <c r="J453" s="109" t="str">
        <f t="shared" si="28"/>
        <v/>
      </c>
      <c r="K453" s="109" t="s">
        <v>1768</v>
      </c>
      <c r="L453" s="110" t="str">
        <f t="shared" ca="1" si="29"/>
        <v/>
      </c>
    </row>
    <row r="454" spans="1:12" outlineLevel="2" x14ac:dyDescent="0.2">
      <c r="A454" s="122" t="s">
        <v>1363</v>
      </c>
      <c r="B454" s="155" t="s">
        <v>823</v>
      </c>
      <c r="C454" s="155" t="s">
        <v>851</v>
      </c>
      <c r="D454" s="176">
        <v>1</v>
      </c>
      <c r="E454" s="69"/>
      <c r="F454" s="174"/>
      <c r="G454" s="175"/>
      <c r="H454" s="107"/>
      <c r="I454" s="202"/>
      <c r="J454" s="109" t="str">
        <f t="shared" si="28"/>
        <v/>
      </c>
      <c r="K454" s="109" t="s">
        <v>1768</v>
      </c>
      <c r="L454" s="110" t="str">
        <f t="shared" ca="1" si="29"/>
        <v/>
      </c>
    </row>
    <row r="455" spans="1:12" outlineLevel="2" x14ac:dyDescent="0.2">
      <c r="A455" s="122" t="s">
        <v>1364</v>
      </c>
      <c r="B455" s="155" t="s">
        <v>824</v>
      </c>
      <c r="C455" s="155" t="s">
        <v>852</v>
      </c>
      <c r="D455" s="176">
        <v>1</v>
      </c>
      <c r="E455" s="69"/>
      <c r="F455" s="174"/>
      <c r="G455" s="175"/>
      <c r="H455" s="107"/>
      <c r="I455" s="202"/>
      <c r="J455" s="109" t="str">
        <f t="shared" si="28"/>
        <v/>
      </c>
      <c r="K455" s="109" t="s">
        <v>1768</v>
      </c>
      <c r="L455" s="110" t="str">
        <f t="shared" ca="1" si="29"/>
        <v/>
      </c>
    </row>
    <row r="456" spans="1:12" outlineLevel="2" x14ac:dyDescent="0.2">
      <c r="A456" s="122" t="s">
        <v>1365</v>
      </c>
      <c r="B456" s="155" t="s">
        <v>825</v>
      </c>
      <c r="C456" s="155" t="s">
        <v>853</v>
      </c>
      <c r="D456" s="176">
        <v>1</v>
      </c>
      <c r="E456" s="69"/>
      <c r="F456" s="174"/>
      <c r="G456" s="175"/>
      <c r="H456" s="107"/>
      <c r="I456" s="202"/>
      <c r="J456" s="109" t="str">
        <f t="shared" si="28"/>
        <v/>
      </c>
      <c r="K456" s="109" t="s">
        <v>1768</v>
      </c>
      <c r="L456" s="110" t="str">
        <f t="shared" ca="1" si="29"/>
        <v/>
      </c>
    </row>
    <row r="457" spans="1:12" outlineLevel="2" x14ac:dyDescent="0.2">
      <c r="A457" s="122" t="s">
        <v>1366</v>
      </c>
      <c r="B457" s="155" t="s">
        <v>826</v>
      </c>
      <c r="C457" s="155" t="s">
        <v>854</v>
      </c>
      <c r="D457" s="176">
        <v>1</v>
      </c>
      <c r="E457" s="69"/>
      <c r="F457" s="174"/>
      <c r="G457" s="175"/>
      <c r="H457" s="107"/>
      <c r="I457" s="202"/>
      <c r="J457" s="109" t="str">
        <f t="shared" si="28"/>
        <v/>
      </c>
      <c r="K457" s="109" t="s">
        <v>1768</v>
      </c>
      <c r="L457" s="110" t="str">
        <f t="shared" ca="1" si="29"/>
        <v/>
      </c>
    </row>
    <row r="458" spans="1:12" outlineLevel="2" x14ac:dyDescent="0.2">
      <c r="A458" s="122" t="s">
        <v>1367</v>
      </c>
      <c r="B458" s="155" t="s">
        <v>827</v>
      </c>
      <c r="C458" s="155" t="s">
        <v>855</v>
      </c>
      <c r="D458" s="176">
        <v>2</v>
      </c>
      <c r="E458" s="69"/>
      <c r="F458" s="174"/>
      <c r="G458" s="175"/>
      <c r="H458" s="107"/>
      <c r="I458" s="202"/>
      <c r="J458" s="109" t="str">
        <f t="shared" si="28"/>
        <v/>
      </c>
      <c r="K458" s="109" t="s">
        <v>1768</v>
      </c>
      <c r="L458" s="110" t="str">
        <f t="shared" ca="1" si="29"/>
        <v/>
      </c>
    </row>
    <row r="459" spans="1:12" outlineLevel="2" x14ac:dyDescent="0.2">
      <c r="A459" s="122" t="s">
        <v>1368</v>
      </c>
      <c r="B459" s="155" t="s">
        <v>828</v>
      </c>
      <c r="C459" s="155" t="s">
        <v>856</v>
      </c>
      <c r="D459" s="176">
        <v>1</v>
      </c>
      <c r="E459" s="69"/>
      <c r="F459" s="174"/>
      <c r="G459" s="175"/>
      <c r="H459" s="107"/>
      <c r="I459" s="202"/>
      <c r="J459" s="109" t="str">
        <f t="shared" si="28"/>
        <v/>
      </c>
      <c r="K459" s="109" t="s">
        <v>1768</v>
      </c>
      <c r="L459" s="110" t="str">
        <f t="shared" ca="1" si="29"/>
        <v/>
      </c>
    </row>
    <row r="460" spans="1:12" outlineLevel="2" x14ac:dyDescent="0.2">
      <c r="A460" s="122" t="s">
        <v>1369</v>
      </c>
      <c r="B460" s="155" t="s">
        <v>829</v>
      </c>
      <c r="C460" s="155" t="s">
        <v>857</v>
      </c>
      <c r="D460" s="176">
        <v>1</v>
      </c>
      <c r="E460" s="69"/>
      <c r="F460" s="174"/>
      <c r="G460" s="175"/>
      <c r="H460" s="107"/>
      <c r="I460" s="202"/>
      <c r="J460" s="109" t="str">
        <f t="shared" si="28"/>
        <v/>
      </c>
      <c r="K460" s="109" t="s">
        <v>1768</v>
      </c>
      <c r="L460" s="110" t="str">
        <f t="shared" ca="1" si="29"/>
        <v/>
      </c>
    </row>
    <row r="461" spans="1:12" outlineLevel="2" x14ac:dyDescent="0.2">
      <c r="A461" s="122" t="s">
        <v>1370</v>
      </c>
      <c r="B461" s="155" t="s">
        <v>830</v>
      </c>
      <c r="C461" s="155" t="s">
        <v>858</v>
      </c>
      <c r="D461" s="176">
        <v>1</v>
      </c>
      <c r="E461" s="69"/>
      <c r="F461" s="174"/>
      <c r="G461" s="175"/>
      <c r="H461" s="107"/>
      <c r="I461" s="202"/>
      <c r="J461" s="109" t="str">
        <f t="shared" si="28"/>
        <v/>
      </c>
      <c r="K461" s="109" t="s">
        <v>1768</v>
      </c>
      <c r="L461" s="110" t="str">
        <f t="shared" ca="1" si="29"/>
        <v/>
      </c>
    </row>
    <row r="462" spans="1:12" outlineLevel="2" x14ac:dyDescent="0.2">
      <c r="A462" s="122" t="s">
        <v>1371</v>
      </c>
      <c r="B462" s="155" t="s">
        <v>831</v>
      </c>
      <c r="C462" s="155" t="s">
        <v>859</v>
      </c>
      <c r="D462" s="176">
        <v>1</v>
      </c>
      <c r="E462" s="69"/>
      <c r="F462" s="174"/>
      <c r="G462" s="175"/>
      <c r="H462" s="107"/>
      <c r="I462" s="202"/>
      <c r="J462" s="109" t="str">
        <f t="shared" si="28"/>
        <v/>
      </c>
      <c r="K462" s="109" t="s">
        <v>1768</v>
      </c>
      <c r="L462" s="110" t="str">
        <f t="shared" ca="1" si="29"/>
        <v/>
      </c>
    </row>
    <row r="463" spans="1:12" outlineLevel="2" x14ac:dyDescent="0.2">
      <c r="A463" s="122" t="s">
        <v>1372</v>
      </c>
      <c r="B463" s="155" t="s">
        <v>832</v>
      </c>
      <c r="C463" s="155" t="s">
        <v>860</v>
      </c>
      <c r="D463" s="176">
        <v>1</v>
      </c>
      <c r="E463" s="69"/>
      <c r="F463" s="174"/>
      <c r="G463" s="175"/>
      <c r="H463" s="107"/>
      <c r="I463" s="202"/>
      <c r="J463" s="109" t="str">
        <f t="shared" si="28"/>
        <v/>
      </c>
      <c r="K463" s="109" t="s">
        <v>1768</v>
      </c>
      <c r="L463" s="110" t="str">
        <f t="shared" ca="1" si="29"/>
        <v/>
      </c>
    </row>
    <row r="464" spans="1:12" outlineLevel="2" x14ac:dyDescent="0.2">
      <c r="A464" s="122" t="s">
        <v>1373</v>
      </c>
      <c r="B464" s="155" t="s">
        <v>833</v>
      </c>
      <c r="C464" s="155" t="s">
        <v>861</v>
      </c>
      <c r="D464" s="176">
        <v>1</v>
      </c>
      <c r="E464" s="69"/>
      <c r="F464" s="174"/>
      <c r="G464" s="175"/>
      <c r="H464" s="107"/>
      <c r="I464" s="202"/>
      <c r="J464" s="109" t="str">
        <f t="shared" si="28"/>
        <v/>
      </c>
      <c r="K464" s="109" t="s">
        <v>1768</v>
      </c>
      <c r="L464" s="110" t="str">
        <f t="shared" ca="1" si="29"/>
        <v/>
      </c>
    </row>
    <row r="465" spans="1:12" outlineLevel="2" x14ac:dyDescent="0.2">
      <c r="A465" s="122" t="s">
        <v>1374</v>
      </c>
      <c r="B465" s="155" t="s">
        <v>834</v>
      </c>
      <c r="C465" s="155" t="s">
        <v>862</v>
      </c>
      <c r="D465" s="176">
        <v>2</v>
      </c>
      <c r="E465" s="69"/>
      <c r="F465" s="174"/>
      <c r="G465" s="175"/>
      <c r="H465" s="107"/>
      <c r="I465" s="202"/>
      <c r="J465" s="109" t="str">
        <f t="shared" si="28"/>
        <v/>
      </c>
      <c r="K465" s="109" t="s">
        <v>1768</v>
      </c>
      <c r="L465" s="110" t="str">
        <f t="shared" ca="1" si="29"/>
        <v/>
      </c>
    </row>
    <row r="466" spans="1:12" outlineLevel="2" x14ac:dyDescent="0.2">
      <c r="A466" s="122" t="s">
        <v>1375</v>
      </c>
      <c r="B466" s="155" t="s">
        <v>835</v>
      </c>
      <c r="C466" s="155" t="s">
        <v>863</v>
      </c>
      <c r="D466" s="176">
        <v>1</v>
      </c>
      <c r="E466" s="69"/>
      <c r="F466" s="174"/>
      <c r="G466" s="175"/>
      <c r="H466" s="107"/>
      <c r="I466" s="202"/>
      <c r="J466" s="109" t="str">
        <f t="shared" si="28"/>
        <v/>
      </c>
      <c r="K466" s="109" t="s">
        <v>1768</v>
      </c>
      <c r="L466" s="110" t="str">
        <f t="shared" ca="1" si="29"/>
        <v/>
      </c>
    </row>
    <row r="467" spans="1:12" outlineLevel="2" x14ac:dyDescent="0.2">
      <c r="A467" s="122" t="s">
        <v>1376</v>
      </c>
      <c r="B467" s="155" t="s">
        <v>836</v>
      </c>
      <c r="C467" s="155" t="s">
        <v>864</v>
      </c>
      <c r="D467" s="176">
        <v>1</v>
      </c>
      <c r="E467" s="69"/>
      <c r="F467" s="174"/>
      <c r="G467" s="175"/>
      <c r="H467" s="107"/>
      <c r="I467" s="202"/>
      <c r="J467" s="109" t="str">
        <f t="shared" si="28"/>
        <v/>
      </c>
      <c r="K467" s="109" t="s">
        <v>1768</v>
      </c>
      <c r="L467" s="110" t="str">
        <f t="shared" ca="1" si="29"/>
        <v/>
      </c>
    </row>
    <row r="468" spans="1:12" outlineLevel="2" x14ac:dyDescent="0.2">
      <c r="A468" s="122" t="s">
        <v>1377</v>
      </c>
      <c r="B468" s="155" t="s">
        <v>837</v>
      </c>
      <c r="C468" s="155" t="s">
        <v>865</v>
      </c>
      <c r="D468" s="176">
        <v>1</v>
      </c>
      <c r="E468" s="69"/>
      <c r="F468" s="174"/>
      <c r="G468" s="175"/>
      <c r="H468" s="107"/>
      <c r="I468" s="202"/>
      <c r="J468" s="109" t="str">
        <f t="shared" si="28"/>
        <v/>
      </c>
      <c r="K468" s="109" t="s">
        <v>1768</v>
      </c>
      <c r="L468" s="110" t="str">
        <f t="shared" ca="1" si="29"/>
        <v/>
      </c>
    </row>
    <row r="469" spans="1:12" outlineLevel="2" x14ac:dyDescent="0.2">
      <c r="A469" s="122" t="s">
        <v>1378</v>
      </c>
      <c r="B469" s="155" t="s">
        <v>838</v>
      </c>
      <c r="C469" s="155" t="s">
        <v>866</v>
      </c>
      <c r="D469" s="176">
        <v>2</v>
      </c>
      <c r="E469" s="69"/>
      <c r="F469" s="174"/>
      <c r="G469" s="175"/>
      <c r="H469" s="107"/>
      <c r="I469" s="202"/>
      <c r="J469" s="109" t="str">
        <f t="shared" si="28"/>
        <v/>
      </c>
      <c r="K469" s="109" t="s">
        <v>1768</v>
      </c>
      <c r="L469" s="110" t="str">
        <f t="shared" ca="1" si="29"/>
        <v/>
      </c>
    </row>
    <row r="470" spans="1:12" outlineLevel="2" x14ac:dyDescent="0.2">
      <c r="A470" s="122" t="s">
        <v>1379</v>
      </c>
      <c r="B470" s="155" t="s">
        <v>839</v>
      </c>
      <c r="C470" s="155" t="s">
        <v>867</v>
      </c>
      <c r="D470" s="176">
        <v>4</v>
      </c>
      <c r="E470" s="69"/>
      <c r="F470" s="174"/>
      <c r="G470" s="175"/>
      <c r="H470" s="107"/>
      <c r="I470" s="202"/>
      <c r="J470" s="109" t="str">
        <f t="shared" si="28"/>
        <v/>
      </c>
      <c r="K470" s="109" t="s">
        <v>1768</v>
      </c>
      <c r="L470" s="110" t="str">
        <f t="shared" ca="1" si="29"/>
        <v/>
      </c>
    </row>
    <row r="471" spans="1:12" outlineLevel="2" x14ac:dyDescent="0.2">
      <c r="A471" s="122" t="s">
        <v>1380</v>
      </c>
      <c r="B471" s="155" t="s">
        <v>840</v>
      </c>
      <c r="C471" s="155" t="s">
        <v>868</v>
      </c>
      <c r="D471" s="176">
        <v>3</v>
      </c>
      <c r="E471" s="69"/>
      <c r="F471" s="174"/>
      <c r="G471" s="175"/>
      <c r="H471" s="107"/>
      <c r="I471" s="202"/>
      <c r="J471" s="109" t="str">
        <f t="shared" si="28"/>
        <v/>
      </c>
      <c r="K471" s="109" t="s">
        <v>1768</v>
      </c>
      <c r="L471" s="110" t="str">
        <f t="shared" ca="1" si="29"/>
        <v/>
      </c>
    </row>
    <row r="472" spans="1:12" outlineLevel="2" x14ac:dyDescent="0.2">
      <c r="A472" s="122" t="s">
        <v>1381</v>
      </c>
      <c r="B472" s="155" t="s">
        <v>841</v>
      </c>
      <c r="C472" s="155" t="s">
        <v>869</v>
      </c>
      <c r="D472" s="176">
        <v>6</v>
      </c>
      <c r="E472" s="69"/>
      <c r="F472" s="174"/>
      <c r="G472" s="175"/>
      <c r="H472" s="107"/>
      <c r="I472" s="202"/>
      <c r="J472" s="109" t="str">
        <f t="shared" si="28"/>
        <v/>
      </c>
      <c r="K472" s="109" t="s">
        <v>1768</v>
      </c>
      <c r="L472" s="110" t="str">
        <f t="shared" ca="1" si="29"/>
        <v/>
      </c>
    </row>
    <row r="473" spans="1:12" outlineLevel="2" x14ac:dyDescent="0.2">
      <c r="A473" s="122" t="s">
        <v>1382</v>
      </c>
      <c r="B473" s="155" t="s">
        <v>842</v>
      </c>
      <c r="C473" s="155" t="s">
        <v>870</v>
      </c>
      <c r="D473" s="176">
        <v>15</v>
      </c>
      <c r="E473" s="69"/>
      <c r="F473" s="174"/>
      <c r="G473" s="175"/>
      <c r="H473" s="107"/>
      <c r="I473" s="202"/>
      <c r="J473" s="109" t="str">
        <f t="shared" si="28"/>
        <v/>
      </c>
      <c r="K473" s="109" t="s">
        <v>1768</v>
      </c>
      <c r="L473" s="110" t="str">
        <f t="shared" ca="1" si="29"/>
        <v/>
      </c>
    </row>
    <row r="474" spans="1:12" outlineLevel="2" x14ac:dyDescent="0.2">
      <c r="A474" s="122" t="s">
        <v>1383</v>
      </c>
      <c r="B474" s="155" t="s">
        <v>843</v>
      </c>
      <c r="C474" s="155" t="s">
        <v>871</v>
      </c>
      <c r="D474" s="176">
        <v>18</v>
      </c>
      <c r="E474" s="69"/>
      <c r="F474" s="174"/>
      <c r="G474" s="175"/>
      <c r="H474" s="107"/>
      <c r="I474" s="202"/>
      <c r="J474" s="109" t="str">
        <f t="shared" si="28"/>
        <v/>
      </c>
      <c r="K474" s="109" t="s">
        <v>1768</v>
      </c>
      <c r="L474" s="110" t="str">
        <f t="shared" ca="1" si="29"/>
        <v/>
      </c>
    </row>
    <row r="475" spans="1:12" outlineLevel="2" x14ac:dyDescent="0.2">
      <c r="A475" s="122" t="s">
        <v>1384</v>
      </c>
      <c r="B475" s="155" t="s">
        <v>844</v>
      </c>
      <c r="C475" s="155" t="s">
        <v>872</v>
      </c>
      <c r="D475" s="176">
        <v>1</v>
      </c>
      <c r="E475" s="69"/>
      <c r="F475" s="174"/>
      <c r="G475" s="175"/>
      <c r="H475" s="107"/>
      <c r="I475" s="202"/>
      <c r="J475" s="109" t="str">
        <f t="shared" si="28"/>
        <v/>
      </c>
      <c r="K475" s="109" t="s">
        <v>1768</v>
      </c>
      <c r="L475" s="110" t="str">
        <f t="shared" ca="1" si="29"/>
        <v/>
      </c>
    </row>
    <row r="476" spans="1:12" outlineLevel="2" x14ac:dyDescent="0.2">
      <c r="A476" s="122" t="s">
        <v>1385</v>
      </c>
      <c r="B476" s="155" t="s">
        <v>845</v>
      </c>
      <c r="C476" s="155" t="s">
        <v>873</v>
      </c>
      <c r="D476" s="176">
        <v>2</v>
      </c>
      <c r="E476" s="69"/>
      <c r="F476" s="174"/>
      <c r="G476" s="175"/>
      <c r="H476" s="107"/>
      <c r="I476" s="202"/>
      <c r="J476" s="109" t="str">
        <f t="shared" si="28"/>
        <v/>
      </c>
      <c r="K476" s="109" t="s">
        <v>1768</v>
      </c>
      <c r="L476" s="110" t="str">
        <f t="shared" ca="1" si="29"/>
        <v/>
      </c>
    </row>
    <row r="477" spans="1:12" ht="13.5" outlineLevel="2" thickBot="1" x14ac:dyDescent="0.25">
      <c r="A477" s="122" t="s">
        <v>1386</v>
      </c>
      <c r="B477" s="165" t="s">
        <v>846</v>
      </c>
      <c r="C477" s="165" t="s">
        <v>874</v>
      </c>
      <c r="D477" s="177">
        <v>1</v>
      </c>
      <c r="E477" s="81"/>
      <c r="F477" s="178"/>
      <c r="G477" s="179"/>
      <c r="H477" s="108"/>
      <c r="I477" s="205"/>
      <c r="J477" s="129" t="str">
        <f t="shared" si="28"/>
        <v/>
      </c>
      <c r="K477" s="129" t="s">
        <v>1768</v>
      </c>
      <c r="L477" s="130" t="str">
        <f t="shared" ca="1" si="29"/>
        <v/>
      </c>
    </row>
    <row r="478" spans="1:12" outlineLevel="2" x14ac:dyDescent="0.2">
      <c r="A478" s="140"/>
      <c r="B478" s="144"/>
      <c r="C478" s="153"/>
      <c r="D478" s="150"/>
      <c r="E478" s="59"/>
      <c r="F478" s="180"/>
      <c r="G478" s="181"/>
      <c r="H478" s="114"/>
      <c r="I478" s="211"/>
      <c r="J478" s="203" t="str">
        <f t="shared" si="28"/>
        <v/>
      </c>
      <c r="K478" s="203" t="s">
        <v>1768</v>
      </c>
      <c r="L478" s="212" t="str">
        <f t="shared" ca="1" si="29"/>
        <v/>
      </c>
    </row>
    <row r="479" spans="1:12" ht="13.5" outlineLevel="2" thickBot="1" x14ac:dyDescent="0.25">
      <c r="A479" s="140"/>
      <c r="B479" s="83"/>
      <c r="C479" s="154"/>
      <c r="D479" s="151"/>
      <c r="E479" s="84"/>
      <c r="F479" s="182"/>
      <c r="G479" s="183"/>
      <c r="H479" s="115"/>
      <c r="I479" s="218"/>
      <c r="J479" s="219" t="str">
        <f t="shared" si="28"/>
        <v/>
      </c>
      <c r="K479" s="219" t="s">
        <v>1768</v>
      </c>
      <c r="L479" s="220" t="str">
        <f t="shared" ca="1" si="29"/>
        <v/>
      </c>
    </row>
    <row r="480" spans="1:12" outlineLevel="2" x14ac:dyDescent="0.2">
      <c r="A480" s="352">
        <v>15</v>
      </c>
      <c r="B480" s="354" t="s">
        <v>265</v>
      </c>
      <c r="C480" s="356" t="s">
        <v>266</v>
      </c>
      <c r="D480" s="358">
        <f>F481</f>
        <v>1</v>
      </c>
      <c r="E480" s="360">
        <v>2718823.72</v>
      </c>
      <c r="F480" s="188">
        <v>2718823.72</v>
      </c>
      <c r="G480" s="173"/>
      <c r="H480" s="379" t="s">
        <v>467</v>
      </c>
      <c r="I480" s="202"/>
      <c r="J480" s="109" t="str">
        <f t="shared" si="28"/>
        <v/>
      </c>
      <c r="K480" s="109" t="s">
        <v>1768</v>
      </c>
      <c r="L480" s="110" t="str">
        <f t="shared" ca="1" si="29"/>
        <v/>
      </c>
    </row>
    <row r="481" spans="1:12" outlineLevel="2" x14ac:dyDescent="0.2">
      <c r="A481" s="353"/>
      <c r="B481" s="355"/>
      <c r="C481" s="357"/>
      <c r="D481" s="359"/>
      <c r="E481" s="361">
        <v>1</v>
      </c>
      <c r="F481" s="174">
        <v>1</v>
      </c>
      <c r="G481" s="175"/>
      <c r="H481" s="366"/>
      <c r="I481" s="202"/>
      <c r="J481" s="109" t="str">
        <f t="shared" si="28"/>
        <v/>
      </c>
      <c r="K481" s="109" t="s">
        <v>1768</v>
      </c>
      <c r="L481" s="110" t="str">
        <f t="shared" ca="1" si="29"/>
        <v/>
      </c>
    </row>
    <row r="482" spans="1:12" outlineLevel="2" x14ac:dyDescent="0.2">
      <c r="A482" s="122" t="s">
        <v>1142</v>
      </c>
      <c r="B482" s="155" t="s">
        <v>875</v>
      </c>
      <c r="C482" s="155" t="s">
        <v>881</v>
      </c>
      <c r="D482" s="176">
        <v>0</v>
      </c>
      <c r="E482" s="69"/>
      <c r="F482" s="174"/>
      <c r="G482" s="175"/>
      <c r="H482" s="107"/>
      <c r="I482" s="202"/>
      <c r="J482" s="109" t="str">
        <f t="shared" si="28"/>
        <v/>
      </c>
      <c r="K482" s="109" t="s">
        <v>1768</v>
      </c>
      <c r="L482" s="110" t="str">
        <f t="shared" ca="1" si="29"/>
        <v/>
      </c>
    </row>
    <row r="483" spans="1:12" outlineLevel="2" x14ac:dyDescent="0.2">
      <c r="A483" s="122" t="s">
        <v>1143</v>
      </c>
      <c r="B483" s="155" t="s">
        <v>1389</v>
      </c>
      <c r="C483" s="155"/>
      <c r="D483" s="176">
        <v>1</v>
      </c>
      <c r="E483" s="69"/>
      <c r="F483" s="174"/>
      <c r="G483" s="175"/>
      <c r="H483" s="107"/>
      <c r="I483" s="202" t="s">
        <v>1554</v>
      </c>
      <c r="J483" s="109" t="str">
        <f t="shared" ref="J483:J509" si="30">IF(I483="","", "A")</f>
        <v>A</v>
      </c>
      <c r="K483" s="109" t="s">
        <v>1772</v>
      </c>
      <c r="L483" s="110">
        <f t="shared" ref="L483:L509" ca="1" si="31">IF(I483="","",TODAY())</f>
        <v>46077</v>
      </c>
    </row>
    <row r="484" spans="1:12" outlineLevel="2" x14ac:dyDescent="0.2">
      <c r="A484" s="122" t="s">
        <v>1420</v>
      </c>
      <c r="B484" s="155" t="s">
        <v>1390</v>
      </c>
      <c r="C484" s="155"/>
      <c r="D484" s="176">
        <v>1</v>
      </c>
      <c r="E484" s="69"/>
      <c r="F484" s="174"/>
      <c r="G484" s="175"/>
      <c r="H484" s="107"/>
      <c r="I484" s="202" t="s">
        <v>1554</v>
      </c>
      <c r="J484" s="109" t="str">
        <f t="shared" si="30"/>
        <v>A</v>
      </c>
      <c r="K484" s="109" t="s">
        <v>1773</v>
      </c>
      <c r="L484" s="110">
        <f t="shared" ca="1" si="31"/>
        <v>46077</v>
      </c>
    </row>
    <row r="485" spans="1:12" outlineLevel="2" x14ac:dyDescent="0.2">
      <c r="A485" s="122" t="s">
        <v>1421</v>
      </c>
      <c r="B485" s="155" t="s">
        <v>1009</v>
      </c>
      <c r="C485" s="155"/>
      <c r="D485" s="176">
        <v>1</v>
      </c>
      <c r="E485" s="69"/>
      <c r="F485" s="174"/>
      <c r="G485" s="175"/>
      <c r="H485" s="107"/>
      <c r="I485" s="202" t="s">
        <v>1553</v>
      </c>
      <c r="J485" s="109" t="str">
        <f t="shared" si="30"/>
        <v>A</v>
      </c>
      <c r="K485" s="109" t="s">
        <v>1634</v>
      </c>
      <c r="L485" s="110">
        <f t="shared" ca="1" si="31"/>
        <v>46077</v>
      </c>
    </row>
    <row r="486" spans="1:12" outlineLevel="2" x14ac:dyDescent="0.2">
      <c r="A486" s="122" t="s">
        <v>1422</v>
      </c>
      <c r="B486" s="155" t="s">
        <v>1010</v>
      </c>
      <c r="C486" s="155"/>
      <c r="D486" s="176">
        <v>1</v>
      </c>
      <c r="E486" s="69"/>
      <c r="F486" s="174"/>
      <c r="G486" s="175"/>
      <c r="H486" s="107"/>
      <c r="I486" s="202" t="s">
        <v>1553</v>
      </c>
      <c r="J486" s="109" t="str">
        <f t="shared" si="30"/>
        <v>A</v>
      </c>
      <c r="K486" s="109" t="s">
        <v>1635</v>
      </c>
      <c r="L486" s="110">
        <f t="shared" ca="1" si="31"/>
        <v>46077</v>
      </c>
    </row>
    <row r="487" spans="1:12" outlineLevel="2" x14ac:dyDescent="0.2">
      <c r="A487" s="122" t="s">
        <v>1423</v>
      </c>
      <c r="B487" s="155" t="s">
        <v>1011</v>
      </c>
      <c r="C487" s="155"/>
      <c r="D487" s="176">
        <v>1</v>
      </c>
      <c r="E487" s="69"/>
      <c r="F487" s="174"/>
      <c r="G487" s="175"/>
      <c r="H487" s="107"/>
      <c r="I487" s="202" t="s">
        <v>1554</v>
      </c>
      <c r="J487" s="109" t="str">
        <f t="shared" si="30"/>
        <v>A</v>
      </c>
      <c r="K487" s="109" t="s">
        <v>1636</v>
      </c>
      <c r="L487" s="110">
        <f t="shared" ca="1" si="31"/>
        <v>46077</v>
      </c>
    </row>
    <row r="488" spans="1:12" outlineLevel="2" x14ac:dyDescent="0.2">
      <c r="A488" s="122" t="s">
        <v>1424</v>
      </c>
      <c r="B488" s="155" t="s">
        <v>1012</v>
      </c>
      <c r="C488" s="155"/>
      <c r="D488" s="176">
        <v>1</v>
      </c>
      <c r="E488" s="69"/>
      <c r="F488" s="174"/>
      <c r="G488" s="175"/>
      <c r="H488" s="107"/>
      <c r="I488" s="202" t="s">
        <v>1553</v>
      </c>
      <c r="J488" s="109" t="str">
        <f t="shared" si="30"/>
        <v>A</v>
      </c>
      <c r="K488" s="109" t="s">
        <v>1637</v>
      </c>
      <c r="L488" s="110">
        <f t="shared" ca="1" si="31"/>
        <v>46077</v>
      </c>
    </row>
    <row r="489" spans="1:12" outlineLevel="2" x14ac:dyDescent="0.2">
      <c r="A489" s="122" t="s">
        <v>1425</v>
      </c>
      <c r="B489" s="155" t="s">
        <v>1013</v>
      </c>
      <c r="C489" s="155"/>
      <c r="D489" s="176">
        <v>1</v>
      </c>
      <c r="E489" s="69"/>
      <c r="F489" s="174"/>
      <c r="G489" s="175"/>
      <c r="H489" s="107"/>
      <c r="I489" s="202" t="s">
        <v>1553</v>
      </c>
      <c r="J489" s="109" t="str">
        <f t="shared" si="30"/>
        <v>A</v>
      </c>
      <c r="K489" s="109" t="s">
        <v>1638</v>
      </c>
      <c r="L489" s="110">
        <f t="shared" ca="1" si="31"/>
        <v>46077</v>
      </c>
    </row>
    <row r="490" spans="1:12" outlineLevel="2" x14ac:dyDescent="0.2">
      <c r="A490" s="122" t="s">
        <v>1426</v>
      </c>
      <c r="B490" s="155" t="s">
        <v>1014</v>
      </c>
      <c r="C490" s="155"/>
      <c r="D490" s="176">
        <v>1</v>
      </c>
      <c r="E490" s="69"/>
      <c r="F490" s="174"/>
      <c r="G490" s="175"/>
      <c r="H490" s="107"/>
      <c r="I490" s="202" t="s">
        <v>1553</v>
      </c>
      <c r="J490" s="109" t="str">
        <f t="shared" si="30"/>
        <v>A</v>
      </c>
      <c r="K490" s="109" t="s">
        <v>1639</v>
      </c>
      <c r="L490" s="110">
        <f t="shared" ca="1" si="31"/>
        <v>46077</v>
      </c>
    </row>
    <row r="491" spans="1:12" outlineLevel="2" x14ac:dyDescent="0.2">
      <c r="A491" s="122" t="s">
        <v>1427</v>
      </c>
      <c r="B491" s="155" t="s">
        <v>1015</v>
      </c>
      <c r="C491" s="155"/>
      <c r="D491" s="176">
        <v>1</v>
      </c>
      <c r="E491" s="69"/>
      <c r="F491" s="174"/>
      <c r="G491" s="175"/>
      <c r="H491" s="107"/>
      <c r="I491" s="202" t="s">
        <v>1553</v>
      </c>
      <c r="J491" s="109" t="str">
        <f t="shared" si="30"/>
        <v>A</v>
      </c>
      <c r="K491" s="109" t="s">
        <v>1640</v>
      </c>
      <c r="L491" s="110">
        <f t="shared" ca="1" si="31"/>
        <v>46077</v>
      </c>
    </row>
    <row r="492" spans="1:12" outlineLevel="2" x14ac:dyDescent="0.2">
      <c r="A492" s="122" t="s">
        <v>1428</v>
      </c>
      <c r="B492" s="155" t="s">
        <v>1016</v>
      </c>
      <c r="C492" s="155"/>
      <c r="D492" s="176">
        <v>1</v>
      </c>
      <c r="E492" s="69"/>
      <c r="F492" s="174"/>
      <c r="G492" s="175"/>
      <c r="H492" s="107"/>
      <c r="I492" s="202" t="s">
        <v>1554</v>
      </c>
      <c r="J492" s="109" t="str">
        <f t="shared" si="30"/>
        <v>A</v>
      </c>
      <c r="K492" s="109" t="s">
        <v>1641</v>
      </c>
      <c r="L492" s="110">
        <f t="shared" ca="1" si="31"/>
        <v>46077</v>
      </c>
    </row>
    <row r="493" spans="1:12" outlineLevel="2" x14ac:dyDescent="0.2">
      <c r="A493" s="122" t="s">
        <v>1429</v>
      </c>
      <c r="B493" s="155" t="s">
        <v>1017</v>
      </c>
      <c r="C493" s="155"/>
      <c r="D493" s="176">
        <v>1</v>
      </c>
      <c r="E493" s="69"/>
      <c r="F493" s="174"/>
      <c r="G493" s="175"/>
      <c r="H493" s="107"/>
      <c r="I493" s="202" t="s">
        <v>1554</v>
      </c>
      <c r="J493" s="109" t="str">
        <f t="shared" si="30"/>
        <v>A</v>
      </c>
      <c r="K493" s="109" t="s">
        <v>1642</v>
      </c>
      <c r="L493" s="110">
        <f t="shared" ca="1" si="31"/>
        <v>46077</v>
      </c>
    </row>
    <row r="494" spans="1:12" outlineLevel="2" x14ac:dyDescent="0.2">
      <c r="A494" s="122" t="s">
        <v>1430</v>
      </c>
      <c r="B494" s="155" t="s">
        <v>1018</v>
      </c>
      <c r="C494" s="155"/>
      <c r="D494" s="176">
        <v>1</v>
      </c>
      <c r="E494" s="69"/>
      <c r="F494" s="174"/>
      <c r="G494" s="175"/>
      <c r="H494" s="107"/>
      <c r="I494" s="202" t="s">
        <v>1554</v>
      </c>
      <c r="J494" s="109" t="str">
        <f t="shared" si="30"/>
        <v>A</v>
      </c>
      <c r="K494" s="109" t="s">
        <v>1643</v>
      </c>
      <c r="L494" s="110">
        <f t="shared" ca="1" si="31"/>
        <v>46077</v>
      </c>
    </row>
    <row r="495" spans="1:12" outlineLevel="2" x14ac:dyDescent="0.2">
      <c r="A495" s="122" t="s">
        <v>1431</v>
      </c>
      <c r="B495" s="155" t="s">
        <v>1095</v>
      </c>
      <c r="C495" s="155"/>
      <c r="D495" s="176">
        <v>1</v>
      </c>
      <c r="E495" s="69"/>
      <c r="F495" s="174"/>
      <c r="G495" s="175"/>
      <c r="H495" s="107"/>
      <c r="I495" s="202" t="s">
        <v>1553</v>
      </c>
      <c r="J495" s="109" t="str">
        <f t="shared" si="30"/>
        <v>A</v>
      </c>
      <c r="K495" s="109" t="s">
        <v>1644</v>
      </c>
      <c r="L495" s="110">
        <f t="shared" ca="1" si="31"/>
        <v>46077</v>
      </c>
    </row>
    <row r="496" spans="1:12" outlineLevel="2" x14ac:dyDescent="0.2">
      <c r="A496" s="122" t="s">
        <v>1432</v>
      </c>
      <c r="B496" s="155" t="s">
        <v>1096</v>
      </c>
      <c r="C496" s="155"/>
      <c r="D496" s="176">
        <v>1</v>
      </c>
      <c r="E496" s="69"/>
      <c r="F496" s="174"/>
      <c r="G496" s="175"/>
      <c r="H496" s="107"/>
      <c r="I496" s="202" t="s">
        <v>1553</v>
      </c>
      <c r="J496" s="109" t="str">
        <f t="shared" si="30"/>
        <v>A</v>
      </c>
      <c r="K496" s="109" t="s">
        <v>1645</v>
      </c>
      <c r="L496" s="110">
        <f t="shared" ca="1" si="31"/>
        <v>46077</v>
      </c>
    </row>
    <row r="497" spans="1:12" outlineLevel="2" x14ac:dyDescent="0.2">
      <c r="A497" s="122" t="s">
        <v>1433</v>
      </c>
      <c r="B497" s="155" t="s">
        <v>1097</v>
      </c>
      <c r="C497" s="155"/>
      <c r="D497" s="176">
        <v>1</v>
      </c>
      <c r="E497" s="69"/>
      <c r="F497" s="174"/>
      <c r="G497" s="175"/>
      <c r="H497" s="107"/>
      <c r="I497" s="202" t="s">
        <v>1554</v>
      </c>
      <c r="J497" s="109" t="str">
        <f t="shared" si="30"/>
        <v>A</v>
      </c>
      <c r="K497" s="109" t="s">
        <v>1646</v>
      </c>
      <c r="L497" s="110">
        <f t="shared" ca="1" si="31"/>
        <v>46077</v>
      </c>
    </row>
    <row r="498" spans="1:12" outlineLevel="2" x14ac:dyDescent="0.2">
      <c r="A498" s="122" t="s">
        <v>1434</v>
      </c>
      <c r="B498" s="155" t="s">
        <v>1098</v>
      </c>
      <c r="C498" s="155"/>
      <c r="D498" s="176">
        <v>3</v>
      </c>
      <c r="E498" s="69"/>
      <c r="F498" s="174"/>
      <c r="G498" s="175"/>
      <c r="H498" s="107"/>
      <c r="I498" s="202" t="s">
        <v>1553</v>
      </c>
      <c r="J498" s="109" t="str">
        <f t="shared" si="30"/>
        <v>A</v>
      </c>
      <c r="K498" s="109" t="s">
        <v>1647</v>
      </c>
      <c r="L498" s="110">
        <f t="shared" ca="1" si="31"/>
        <v>46077</v>
      </c>
    </row>
    <row r="499" spans="1:12" outlineLevel="2" x14ac:dyDescent="0.2">
      <c r="A499" s="122" t="s">
        <v>1435</v>
      </c>
      <c r="B499" s="155" t="s">
        <v>1100</v>
      </c>
      <c r="C499" s="155"/>
      <c r="D499" s="176">
        <v>1</v>
      </c>
      <c r="E499" s="69"/>
      <c r="F499" s="174"/>
      <c r="G499" s="175"/>
      <c r="H499" s="107"/>
      <c r="I499" s="202" t="s">
        <v>1553</v>
      </c>
      <c r="J499" s="109" t="str">
        <f t="shared" si="30"/>
        <v>A</v>
      </c>
      <c r="K499" s="109" t="s">
        <v>1648</v>
      </c>
      <c r="L499" s="110">
        <f t="shared" ca="1" si="31"/>
        <v>46077</v>
      </c>
    </row>
    <row r="500" spans="1:12" outlineLevel="2" x14ac:dyDescent="0.2">
      <c r="A500" s="122" t="s">
        <v>1436</v>
      </c>
      <c r="B500" s="155" t="s">
        <v>1099</v>
      </c>
      <c r="C500" s="155"/>
      <c r="D500" s="176">
        <v>1</v>
      </c>
      <c r="E500" s="69"/>
      <c r="F500" s="174"/>
      <c r="G500" s="175"/>
      <c r="H500" s="107"/>
      <c r="I500" s="202" t="s">
        <v>1553</v>
      </c>
      <c r="J500" s="109" t="str">
        <f t="shared" si="30"/>
        <v>A</v>
      </c>
      <c r="K500" s="109" t="s">
        <v>1649</v>
      </c>
      <c r="L500" s="110">
        <f t="shared" ca="1" si="31"/>
        <v>46077</v>
      </c>
    </row>
    <row r="501" spans="1:12" outlineLevel="2" x14ac:dyDescent="0.2">
      <c r="A501" s="122" t="s">
        <v>1437</v>
      </c>
      <c r="B501" s="155" t="s">
        <v>1101</v>
      </c>
      <c r="C501" s="155"/>
      <c r="D501" s="176">
        <v>1</v>
      </c>
      <c r="E501" s="69"/>
      <c r="F501" s="174"/>
      <c r="G501" s="175"/>
      <c r="H501" s="107"/>
      <c r="I501" s="202" t="s">
        <v>1553</v>
      </c>
      <c r="J501" s="109" t="str">
        <f t="shared" si="30"/>
        <v>A</v>
      </c>
      <c r="K501" s="109" t="s">
        <v>1650</v>
      </c>
      <c r="L501" s="110">
        <f t="shared" ca="1" si="31"/>
        <v>46077</v>
      </c>
    </row>
    <row r="502" spans="1:12" outlineLevel="2" x14ac:dyDescent="0.2">
      <c r="A502" s="122" t="s">
        <v>1438</v>
      </c>
      <c r="B502" s="155" t="s">
        <v>1102</v>
      </c>
      <c r="C502" s="155"/>
      <c r="D502" s="176">
        <v>1</v>
      </c>
      <c r="E502" s="69"/>
      <c r="F502" s="174"/>
      <c r="G502" s="175"/>
      <c r="H502" s="107"/>
      <c r="I502" s="202" t="s">
        <v>1553</v>
      </c>
      <c r="J502" s="109" t="str">
        <f t="shared" si="30"/>
        <v>A</v>
      </c>
      <c r="K502" s="109" t="s">
        <v>1651</v>
      </c>
      <c r="L502" s="110">
        <f t="shared" ca="1" si="31"/>
        <v>46077</v>
      </c>
    </row>
    <row r="503" spans="1:12" outlineLevel="2" x14ac:dyDescent="0.2">
      <c r="A503" s="122" t="s">
        <v>1439</v>
      </c>
      <c r="B503" s="155" t="s">
        <v>1103</v>
      </c>
      <c r="C503" s="155"/>
      <c r="D503" s="176">
        <v>1</v>
      </c>
      <c r="E503" s="69"/>
      <c r="F503" s="174"/>
      <c r="G503" s="175"/>
      <c r="H503" s="107"/>
      <c r="I503" s="202" t="s">
        <v>1553</v>
      </c>
      <c r="J503" s="109" t="str">
        <f t="shared" si="30"/>
        <v>A</v>
      </c>
      <c r="K503" s="109" t="s">
        <v>1652</v>
      </c>
      <c r="L503" s="110">
        <f t="shared" ca="1" si="31"/>
        <v>46077</v>
      </c>
    </row>
    <row r="504" spans="1:12" outlineLevel="2" x14ac:dyDescent="0.2">
      <c r="A504" s="122" t="s">
        <v>1440</v>
      </c>
      <c r="B504" s="155" t="s">
        <v>1104</v>
      </c>
      <c r="C504" s="155"/>
      <c r="D504" s="176">
        <v>1</v>
      </c>
      <c r="E504" s="69"/>
      <c r="F504" s="174"/>
      <c r="G504" s="175"/>
      <c r="H504" s="107"/>
      <c r="I504" s="202" t="s">
        <v>1553</v>
      </c>
      <c r="J504" s="109" t="str">
        <f t="shared" si="30"/>
        <v>A</v>
      </c>
      <c r="K504" s="109" t="s">
        <v>1653</v>
      </c>
      <c r="L504" s="110">
        <f t="shared" ca="1" si="31"/>
        <v>46077</v>
      </c>
    </row>
    <row r="505" spans="1:12" outlineLevel="2" x14ac:dyDescent="0.2">
      <c r="A505" s="122" t="s">
        <v>1441</v>
      </c>
      <c r="B505" s="155" t="s">
        <v>1105</v>
      </c>
      <c r="C505" s="155"/>
      <c r="D505" s="176">
        <v>1</v>
      </c>
      <c r="E505" s="69"/>
      <c r="F505" s="174"/>
      <c r="G505" s="175"/>
      <c r="H505" s="107"/>
      <c r="I505" s="202" t="s">
        <v>1553</v>
      </c>
      <c r="J505" s="109" t="str">
        <f t="shared" si="30"/>
        <v>A</v>
      </c>
      <c r="K505" s="109" t="s">
        <v>1654</v>
      </c>
      <c r="L505" s="110">
        <f t="shared" ca="1" si="31"/>
        <v>46077</v>
      </c>
    </row>
    <row r="506" spans="1:12" outlineLevel="2" x14ac:dyDescent="0.2">
      <c r="A506" s="122" t="s">
        <v>1442</v>
      </c>
      <c r="B506" s="155" t="s">
        <v>1106</v>
      </c>
      <c r="C506" s="155"/>
      <c r="D506" s="176">
        <v>1</v>
      </c>
      <c r="E506" s="69"/>
      <c r="F506" s="174"/>
      <c r="G506" s="175"/>
      <c r="H506" s="107"/>
      <c r="I506" s="202" t="s">
        <v>1554</v>
      </c>
      <c r="J506" s="109" t="str">
        <f t="shared" si="30"/>
        <v>A</v>
      </c>
      <c r="K506" s="109" t="s">
        <v>1655</v>
      </c>
      <c r="L506" s="110">
        <f t="shared" ca="1" si="31"/>
        <v>46077</v>
      </c>
    </row>
    <row r="507" spans="1:12" outlineLevel="2" x14ac:dyDescent="0.2">
      <c r="A507" s="122" t="s">
        <v>1443</v>
      </c>
      <c r="B507" s="155" t="s">
        <v>1107</v>
      </c>
      <c r="C507" s="155"/>
      <c r="D507" s="176">
        <v>1</v>
      </c>
      <c r="E507" s="69"/>
      <c r="F507" s="174"/>
      <c r="G507" s="175"/>
      <c r="H507" s="107"/>
      <c r="I507" s="202" t="s">
        <v>1554</v>
      </c>
      <c r="J507" s="109" t="str">
        <f t="shared" si="30"/>
        <v>A</v>
      </c>
      <c r="K507" s="109" t="s">
        <v>1656</v>
      </c>
      <c r="L507" s="110">
        <f t="shared" ca="1" si="31"/>
        <v>46077</v>
      </c>
    </row>
    <row r="508" spans="1:12" outlineLevel="2" x14ac:dyDescent="0.2">
      <c r="A508" s="122" t="s">
        <v>1444</v>
      </c>
      <c r="B508" s="155" t="s">
        <v>1108</v>
      </c>
      <c r="C508" s="155"/>
      <c r="D508" s="176">
        <v>1</v>
      </c>
      <c r="E508" s="69"/>
      <c r="F508" s="174"/>
      <c r="G508" s="175"/>
      <c r="H508" s="107"/>
      <c r="I508" s="202" t="s">
        <v>1553</v>
      </c>
      <c r="J508" s="109" t="str">
        <f t="shared" si="30"/>
        <v>A</v>
      </c>
      <c r="K508" s="109" t="s">
        <v>1657</v>
      </c>
      <c r="L508" s="110">
        <f t="shared" ca="1" si="31"/>
        <v>46077</v>
      </c>
    </row>
    <row r="509" spans="1:12" outlineLevel="2" x14ac:dyDescent="0.2">
      <c r="A509" s="122" t="s">
        <v>1445</v>
      </c>
      <c r="B509" s="155" t="s">
        <v>1109</v>
      </c>
      <c r="C509" s="155"/>
      <c r="D509" s="176">
        <v>1</v>
      </c>
      <c r="E509" s="69"/>
      <c r="F509" s="174"/>
      <c r="G509" s="175"/>
      <c r="H509" s="107"/>
      <c r="I509" s="202" t="s">
        <v>1554</v>
      </c>
      <c r="J509" s="109" t="str">
        <f t="shared" si="30"/>
        <v>A</v>
      </c>
      <c r="K509" s="109" t="s">
        <v>1658</v>
      </c>
      <c r="L509" s="110">
        <f t="shared" ca="1" si="31"/>
        <v>46077</v>
      </c>
    </row>
    <row r="510" spans="1:12" outlineLevel="2" x14ac:dyDescent="0.2">
      <c r="A510" s="122" t="s">
        <v>1446</v>
      </c>
      <c r="B510" s="155" t="s">
        <v>1391</v>
      </c>
      <c r="C510" s="155"/>
      <c r="D510" s="176">
        <v>1</v>
      </c>
      <c r="E510" s="69"/>
      <c r="F510" s="174"/>
      <c r="G510" s="175"/>
      <c r="H510" s="107"/>
      <c r="I510" s="202" t="s">
        <v>1554</v>
      </c>
      <c r="J510" s="109" t="str">
        <f t="shared" ref="J510:J640" si="32">IF(I510="","", "A")</f>
        <v>A</v>
      </c>
      <c r="K510" s="109" t="s">
        <v>1659</v>
      </c>
      <c r="L510" s="110">
        <f t="shared" ref="L510:L640" ca="1" si="33">IF(I510="","",TODAY())</f>
        <v>46077</v>
      </c>
    </row>
    <row r="511" spans="1:12" outlineLevel="2" x14ac:dyDescent="0.2">
      <c r="A511" s="122" t="s">
        <v>1447</v>
      </c>
      <c r="B511" s="155" t="s">
        <v>1392</v>
      </c>
      <c r="C511" s="155"/>
      <c r="D511" s="176">
        <v>1</v>
      </c>
      <c r="E511" s="69"/>
      <c r="F511" s="174"/>
      <c r="G511" s="175"/>
      <c r="H511" s="107"/>
      <c r="I511" s="202" t="s">
        <v>1553</v>
      </c>
      <c r="J511" s="109" t="str">
        <f t="shared" si="32"/>
        <v>A</v>
      </c>
      <c r="K511" s="109" t="s">
        <v>1774</v>
      </c>
      <c r="L511" s="110">
        <f t="shared" ca="1" si="33"/>
        <v>46077</v>
      </c>
    </row>
    <row r="512" spans="1:12" outlineLevel="2" x14ac:dyDescent="0.2">
      <c r="A512" s="122" t="s">
        <v>1448</v>
      </c>
      <c r="B512" s="155" t="s">
        <v>1393</v>
      </c>
      <c r="C512" s="155"/>
      <c r="D512" s="176">
        <v>1</v>
      </c>
      <c r="E512" s="69"/>
      <c r="F512" s="174"/>
      <c r="G512" s="175"/>
      <c r="H512" s="107"/>
      <c r="I512" s="202" t="s">
        <v>1553</v>
      </c>
      <c r="J512" s="109" t="str">
        <f t="shared" si="32"/>
        <v>A</v>
      </c>
      <c r="K512" s="109" t="s">
        <v>1775</v>
      </c>
      <c r="L512" s="110">
        <f t="shared" ca="1" si="33"/>
        <v>46077</v>
      </c>
    </row>
    <row r="513" spans="1:12" outlineLevel="2" x14ac:dyDescent="0.2">
      <c r="A513" s="122" t="s">
        <v>1449</v>
      </c>
      <c r="B513" s="155" t="s">
        <v>1111</v>
      </c>
      <c r="C513" s="155"/>
      <c r="D513" s="176">
        <v>1</v>
      </c>
      <c r="E513" s="69"/>
      <c r="F513" s="174"/>
      <c r="G513" s="175"/>
      <c r="H513" s="107"/>
      <c r="I513" s="202" t="s">
        <v>1553</v>
      </c>
      <c r="J513" s="109" t="str">
        <f t="shared" si="32"/>
        <v>A</v>
      </c>
      <c r="K513" s="109" t="s">
        <v>1619</v>
      </c>
      <c r="L513" s="110">
        <f t="shared" ca="1" si="33"/>
        <v>46077</v>
      </c>
    </row>
    <row r="514" spans="1:12" outlineLevel="2" x14ac:dyDescent="0.2">
      <c r="A514" s="122" t="s">
        <v>1450</v>
      </c>
      <c r="B514" s="155" t="s">
        <v>1119</v>
      </c>
      <c r="C514" s="155"/>
      <c r="D514" s="176">
        <v>3</v>
      </c>
      <c r="E514" s="69"/>
      <c r="F514" s="174"/>
      <c r="G514" s="175"/>
      <c r="H514" s="107"/>
      <c r="I514" s="202" t="s">
        <v>1553</v>
      </c>
      <c r="J514" s="109" t="str">
        <f t="shared" si="32"/>
        <v>A</v>
      </c>
      <c r="K514" s="109" t="s">
        <v>1620</v>
      </c>
      <c r="L514" s="110">
        <f t="shared" ca="1" si="33"/>
        <v>46077</v>
      </c>
    </row>
    <row r="515" spans="1:12" outlineLevel="2" x14ac:dyDescent="0.2">
      <c r="A515" s="122" t="s">
        <v>1451</v>
      </c>
      <c r="B515" s="155" t="s">
        <v>1120</v>
      </c>
      <c r="C515" s="155"/>
      <c r="D515" s="176">
        <v>2</v>
      </c>
      <c r="E515" s="69"/>
      <c r="F515" s="174"/>
      <c r="G515" s="175"/>
      <c r="H515" s="107"/>
      <c r="I515" s="202" t="s">
        <v>1553</v>
      </c>
      <c r="J515" s="109" t="str">
        <f t="shared" si="32"/>
        <v>A</v>
      </c>
      <c r="K515" s="109" t="s">
        <v>1621</v>
      </c>
      <c r="L515" s="110">
        <f t="shared" ca="1" si="33"/>
        <v>46077</v>
      </c>
    </row>
    <row r="516" spans="1:12" outlineLevel="2" x14ac:dyDescent="0.2">
      <c r="A516" s="122" t="s">
        <v>1452</v>
      </c>
      <c r="B516" s="155" t="s">
        <v>1121</v>
      </c>
      <c r="C516" s="155"/>
      <c r="D516" s="176">
        <v>1</v>
      </c>
      <c r="E516" s="69"/>
      <c r="F516" s="174"/>
      <c r="G516" s="175"/>
      <c r="H516" s="107"/>
      <c r="I516" s="202" t="s">
        <v>1553</v>
      </c>
      <c r="J516" s="109" t="str">
        <f t="shared" si="32"/>
        <v>A</v>
      </c>
      <c r="K516" s="109" t="s">
        <v>1622</v>
      </c>
      <c r="L516" s="110">
        <f t="shared" ca="1" si="33"/>
        <v>46077</v>
      </c>
    </row>
    <row r="517" spans="1:12" outlineLevel="2" x14ac:dyDescent="0.2">
      <c r="A517" s="122" t="s">
        <v>1453</v>
      </c>
      <c r="B517" s="155" t="s">
        <v>1122</v>
      </c>
      <c r="C517" s="155"/>
      <c r="D517" s="176">
        <v>1</v>
      </c>
      <c r="E517" s="69"/>
      <c r="F517" s="174"/>
      <c r="G517" s="175"/>
      <c r="H517" s="107"/>
      <c r="I517" s="202" t="s">
        <v>1554</v>
      </c>
      <c r="J517" s="109" t="str">
        <f t="shared" si="32"/>
        <v>A</v>
      </c>
      <c r="K517" s="109" t="s">
        <v>1623</v>
      </c>
      <c r="L517" s="110">
        <f t="shared" ca="1" si="33"/>
        <v>46077</v>
      </c>
    </row>
    <row r="518" spans="1:12" outlineLevel="2" x14ac:dyDescent="0.2">
      <c r="A518" s="122" t="s">
        <v>1454</v>
      </c>
      <c r="B518" s="155" t="s">
        <v>1123</v>
      </c>
      <c r="C518" s="155"/>
      <c r="D518" s="176">
        <v>1</v>
      </c>
      <c r="E518" s="69"/>
      <c r="F518" s="174"/>
      <c r="G518" s="175"/>
      <c r="H518" s="107"/>
      <c r="I518" s="202" t="s">
        <v>1554</v>
      </c>
      <c r="J518" s="109" t="str">
        <f t="shared" si="32"/>
        <v>A</v>
      </c>
      <c r="K518" s="109" t="s">
        <v>1624</v>
      </c>
      <c r="L518" s="110">
        <f t="shared" ca="1" si="33"/>
        <v>46077</v>
      </c>
    </row>
    <row r="519" spans="1:12" outlineLevel="2" x14ac:dyDescent="0.2">
      <c r="A519" s="194" t="s">
        <v>1455</v>
      </c>
      <c r="B519" s="155" t="s">
        <v>1140</v>
      </c>
      <c r="C519" s="155"/>
      <c r="D519" s="176">
        <v>1</v>
      </c>
      <c r="E519" s="69"/>
      <c r="F519" s="174"/>
      <c r="G519" s="175"/>
      <c r="H519" s="107"/>
      <c r="I519" s="202" t="s">
        <v>1553</v>
      </c>
      <c r="J519" s="109" t="str">
        <f t="shared" si="32"/>
        <v>A</v>
      </c>
      <c r="K519" s="109" t="s">
        <v>1625</v>
      </c>
      <c r="L519" s="110">
        <f t="shared" ca="1" si="33"/>
        <v>46077</v>
      </c>
    </row>
    <row r="520" spans="1:12" outlineLevel="2" x14ac:dyDescent="0.2">
      <c r="A520" s="194" t="s">
        <v>1456</v>
      </c>
      <c r="B520" s="155" t="s">
        <v>1141</v>
      </c>
      <c r="C520" s="155"/>
      <c r="D520" s="176">
        <v>1</v>
      </c>
      <c r="E520" s="69"/>
      <c r="F520" s="174"/>
      <c r="G520" s="175"/>
      <c r="H520" s="107"/>
      <c r="I520" s="202" t="s">
        <v>1553</v>
      </c>
      <c r="J520" s="109" t="str">
        <f t="shared" si="32"/>
        <v>A</v>
      </c>
      <c r="K520" s="109" t="s">
        <v>1626</v>
      </c>
      <c r="L520" s="110">
        <f t="shared" ca="1" si="33"/>
        <v>46077</v>
      </c>
    </row>
    <row r="521" spans="1:12" outlineLevel="2" x14ac:dyDescent="0.2">
      <c r="A521" s="195" t="s">
        <v>1457</v>
      </c>
      <c r="B521" s="155" t="s">
        <v>1126</v>
      </c>
      <c r="C521" s="155"/>
      <c r="D521" s="176">
        <v>1</v>
      </c>
      <c r="E521" s="69"/>
      <c r="F521" s="174"/>
      <c r="G521" s="175"/>
      <c r="H521" s="107"/>
      <c r="I521" s="202" t="s">
        <v>1554</v>
      </c>
      <c r="J521" s="109" t="str">
        <f t="shared" si="32"/>
        <v>A</v>
      </c>
      <c r="K521" s="109" t="s">
        <v>1627</v>
      </c>
      <c r="L521" s="110">
        <f t="shared" ca="1" si="33"/>
        <v>46077</v>
      </c>
    </row>
    <row r="522" spans="1:12" outlineLevel="2" x14ac:dyDescent="0.2">
      <c r="A522" s="195" t="s">
        <v>1458</v>
      </c>
      <c r="B522" s="155" t="s">
        <v>1137</v>
      </c>
      <c r="C522" s="155"/>
      <c r="D522" s="176">
        <v>1</v>
      </c>
      <c r="E522" s="69"/>
      <c r="F522" s="174"/>
      <c r="G522" s="175"/>
      <c r="H522" s="107"/>
      <c r="I522" s="202" t="s">
        <v>1552</v>
      </c>
      <c r="J522" s="109" t="str">
        <f t="shared" si="32"/>
        <v>A</v>
      </c>
      <c r="K522" s="109" t="s">
        <v>1628</v>
      </c>
      <c r="L522" s="110">
        <f t="shared" ca="1" si="33"/>
        <v>46077</v>
      </c>
    </row>
    <row r="523" spans="1:12" outlineLevel="2" x14ac:dyDescent="0.2">
      <c r="A523" s="195" t="s">
        <v>1459</v>
      </c>
      <c r="B523" s="155" t="s">
        <v>1144</v>
      </c>
      <c r="C523" s="155"/>
      <c r="D523" s="176">
        <v>1</v>
      </c>
      <c r="E523" s="69"/>
      <c r="F523" s="174"/>
      <c r="G523" s="175"/>
      <c r="H523" s="107"/>
      <c r="I523" s="202" t="s">
        <v>1552</v>
      </c>
      <c r="J523" s="109" t="str">
        <f t="shared" si="32"/>
        <v>A</v>
      </c>
      <c r="K523" s="109" t="s">
        <v>1629</v>
      </c>
      <c r="L523" s="110">
        <f t="shared" ca="1" si="33"/>
        <v>46077</v>
      </c>
    </row>
    <row r="524" spans="1:12" outlineLevel="2" x14ac:dyDescent="0.2">
      <c r="A524" s="195" t="s">
        <v>1460</v>
      </c>
      <c r="B524" s="155" t="s">
        <v>1127</v>
      </c>
      <c r="C524" s="155"/>
      <c r="D524" s="176">
        <v>1</v>
      </c>
      <c r="E524" s="69"/>
      <c r="F524" s="174"/>
      <c r="G524" s="175"/>
      <c r="H524" s="107"/>
      <c r="I524" s="202" t="s">
        <v>1552</v>
      </c>
      <c r="J524" s="109" t="str">
        <f t="shared" si="32"/>
        <v>A</v>
      </c>
      <c r="K524" s="109" t="s">
        <v>1630</v>
      </c>
      <c r="L524" s="110">
        <f t="shared" ca="1" si="33"/>
        <v>46077</v>
      </c>
    </row>
    <row r="525" spans="1:12" outlineLevel="2" x14ac:dyDescent="0.2">
      <c r="A525" s="195" t="s">
        <v>1461</v>
      </c>
      <c r="B525" s="155" t="s">
        <v>1128</v>
      </c>
      <c r="C525" s="155"/>
      <c r="D525" s="176">
        <v>1</v>
      </c>
      <c r="E525" s="69"/>
      <c r="F525" s="174"/>
      <c r="G525" s="175"/>
      <c r="H525" s="107"/>
      <c r="I525" s="202" t="s">
        <v>1556</v>
      </c>
      <c r="J525" s="109" t="str">
        <f t="shared" si="32"/>
        <v>A</v>
      </c>
      <c r="K525" s="109" t="s">
        <v>1631</v>
      </c>
      <c r="L525" s="110">
        <f t="shared" ca="1" si="33"/>
        <v>46077</v>
      </c>
    </row>
    <row r="526" spans="1:12" outlineLevel="2" x14ac:dyDescent="0.2">
      <c r="A526" s="195" t="s">
        <v>1462</v>
      </c>
      <c r="B526" s="155" t="s">
        <v>1129</v>
      </c>
      <c r="C526" s="155"/>
      <c r="D526" s="176">
        <v>1</v>
      </c>
      <c r="E526" s="69"/>
      <c r="F526" s="174"/>
      <c r="G526" s="175"/>
      <c r="H526" s="107"/>
      <c r="I526" s="202" t="s">
        <v>1552</v>
      </c>
      <c r="J526" s="109" t="str">
        <f t="shared" si="32"/>
        <v>A</v>
      </c>
      <c r="K526" s="109" t="s">
        <v>1632</v>
      </c>
      <c r="L526" s="110">
        <f t="shared" ca="1" si="33"/>
        <v>46077</v>
      </c>
    </row>
    <row r="527" spans="1:12" outlineLevel="2" x14ac:dyDescent="0.2">
      <c r="A527" s="195" t="s">
        <v>1463</v>
      </c>
      <c r="B527" s="155" t="s">
        <v>1130</v>
      </c>
      <c r="C527" s="155"/>
      <c r="D527" s="176">
        <v>1</v>
      </c>
      <c r="E527" s="69"/>
      <c r="F527" s="174"/>
      <c r="G527" s="175"/>
      <c r="H527" s="107"/>
      <c r="I527" s="202" t="s">
        <v>1552</v>
      </c>
      <c r="J527" s="109" t="str">
        <f t="shared" si="32"/>
        <v>A</v>
      </c>
      <c r="K527" s="109" t="s">
        <v>1633</v>
      </c>
      <c r="L527" s="110">
        <f t="shared" ca="1" si="33"/>
        <v>46077</v>
      </c>
    </row>
    <row r="528" spans="1:12" outlineLevel="2" x14ac:dyDescent="0.2">
      <c r="A528" s="195" t="s">
        <v>1464</v>
      </c>
      <c r="B528" s="155" t="s">
        <v>1394</v>
      </c>
      <c r="C528" s="155"/>
      <c r="D528" s="176">
        <v>1</v>
      </c>
      <c r="E528" s="69"/>
      <c r="F528" s="174"/>
      <c r="G528" s="175"/>
      <c r="H528" s="107"/>
      <c r="I528" s="202"/>
      <c r="J528" s="109" t="str">
        <f t="shared" si="32"/>
        <v/>
      </c>
      <c r="K528" s="109" t="s">
        <v>1768</v>
      </c>
      <c r="L528" s="110" t="str">
        <f t="shared" ca="1" si="33"/>
        <v/>
      </c>
    </row>
    <row r="529" spans="1:12" outlineLevel="2" x14ac:dyDescent="0.2">
      <c r="A529" s="122" t="s">
        <v>1397</v>
      </c>
      <c r="B529" s="155" t="s">
        <v>876</v>
      </c>
      <c r="C529" s="155" t="s">
        <v>882</v>
      </c>
      <c r="D529" s="176">
        <v>1</v>
      </c>
      <c r="E529" s="69"/>
      <c r="F529" s="174"/>
      <c r="G529" s="175"/>
      <c r="H529" s="107"/>
      <c r="I529" s="202"/>
      <c r="J529" s="109" t="str">
        <f t="shared" si="32"/>
        <v/>
      </c>
      <c r="K529" s="109" t="s">
        <v>1768</v>
      </c>
      <c r="L529" s="110" t="str">
        <f t="shared" ca="1" si="33"/>
        <v/>
      </c>
    </row>
    <row r="530" spans="1:12" outlineLevel="2" x14ac:dyDescent="0.2">
      <c r="A530" s="122" t="s">
        <v>1398</v>
      </c>
      <c r="B530" s="155" t="s">
        <v>821</v>
      </c>
      <c r="C530" s="155" t="s">
        <v>849</v>
      </c>
      <c r="D530" s="176">
        <v>1</v>
      </c>
      <c r="E530" s="69"/>
      <c r="F530" s="174"/>
      <c r="G530" s="175"/>
      <c r="H530" s="107"/>
      <c r="I530" s="202"/>
      <c r="J530" s="109" t="str">
        <f t="shared" si="32"/>
        <v/>
      </c>
      <c r="K530" s="109" t="s">
        <v>1768</v>
      </c>
      <c r="L530" s="110" t="str">
        <f t="shared" ca="1" si="33"/>
        <v/>
      </c>
    </row>
    <row r="531" spans="1:12" outlineLevel="2" x14ac:dyDescent="0.2">
      <c r="A531" s="122" t="s">
        <v>1399</v>
      </c>
      <c r="B531" s="155" t="s">
        <v>877</v>
      </c>
      <c r="C531" s="155" t="s">
        <v>883</v>
      </c>
      <c r="D531" s="176">
        <v>1</v>
      </c>
      <c r="E531" s="69"/>
      <c r="F531" s="174"/>
      <c r="G531" s="175"/>
      <c r="H531" s="107"/>
      <c r="I531" s="202"/>
      <c r="J531" s="109" t="str">
        <f t="shared" si="32"/>
        <v/>
      </c>
      <c r="K531" s="109" t="s">
        <v>1768</v>
      </c>
      <c r="L531" s="110" t="str">
        <f t="shared" ca="1" si="33"/>
        <v/>
      </c>
    </row>
    <row r="532" spans="1:12" outlineLevel="2" x14ac:dyDescent="0.2">
      <c r="A532" s="122" t="s">
        <v>1400</v>
      </c>
      <c r="B532" s="155" t="s">
        <v>823</v>
      </c>
      <c r="C532" s="155" t="s">
        <v>851</v>
      </c>
      <c r="D532" s="176">
        <v>1</v>
      </c>
      <c r="E532" s="69"/>
      <c r="F532" s="174"/>
      <c r="G532" s="175"/>
      <c r="H532" s="107"/>
      <c r="I532" s="202"/>
      <c r="J532" s="109" t="str">
        <f t="shared" si="32"/>
        <v/>
      </c>
      <c r="K532" s="109" t="s">
        <v>1768</v>
      </c>
      <c r="L532" s="110" t="str">
        <f t="shared" ca="1" si="33"/>
        <v/>
      </c>
    </row>
    <row r="533" spans="1:12" outlineLevel="2" x14ac:dyDescent="0.2">
      <c r="A533" s="122" t="s">
        <v>1401</v>
      </c>
      <c r="B533" s="155" t="s">
        <v>824</v>
      </c>
      <c r="C533" s="155" t="s">
        <v>852</v>
      </c>
      <c r="D533" s="176">
        <v>1</v>
      </c>
      <c r="E533" s="69"/>
      <c r="F533" s="174"/>
      <c r="G533" s="175"/>
      <c r="H533" s="107"/>
      <c r="I533" s="202"/>
      <c r="J533" s="109" t="str">
        <f t="shared" si="32"/>
        <v/>
      </c>
      <c r="K533" s="109" t="s">
        <v>1768</v>
      </c>
      <c r="L533" s="110" t="str">
        <f t="shared" ca="1" si="33"/>
        <v/>
      </c>
    </row>
    <row r="534" spans="1:12" outlineLevel="2" x14ac:dyDescent="0.2">
      <c r="A534" s="122" t="s">
        <v>1402</v>
      </c>
      <c r="B534" s="155" t="s">
        <v>878</v>
      </c>
      <c r="C534" s="155" t="s">
        <v>884</v>
      </c>
      <c r="D534" s="176">
        <v>1</v>
      </c>
      <c r="E534" s="69"/>
      <c r="F534" s="174"/>
      <c r="G534" s="175"/>
      <c r="H534" s="107"/>
      <c r="I534" s="202"/>
      <c r="J534" s="109" t="str">
        <f t="shared" si="32"/>
        <v/>
      </c>
      <c r="K534" s="109" t="s">
        <v>1768</v>
      </c>
      <c r="L534" s="110" t="str">
        <f t="shared" ca="1" si="33"/>
        <v/>
      </c>
    </row>
    <row r="535" spans="1:12" outlineLevel="2" x14ac:dyDescent="0.2">
      <c r="A535" s="122" t="s">
        <v>1403</v>
      </c>
      <c r="B535" s="155" t="s">
        <v>827</v>
      </c>
      <c r="C535" s="155" t="s">
        <v>855</v>
      </c>
      <c r="D535" s="176">
        <v>2</v>
      </c>
      <c r="E535" s="69"/>
      <c r="F535" s="174"/>
      <c r="G535" s="175"/>
      <c r="H535" s="107"/>
      <c r="I535" s="202"/>
      <c r="J535" s="109" t="str">
        <f t="shared" si="32"/>
        <v/>
      </c>
      <c r="K535" s="109" t="s">
        <v>1768</v>
      </c>
      <c r="L535" s="110" t="str">
        <f t="shared" ca="1" si="33"/>
        <v/>
      </c>
    </row>
    <row r="536" spans="1:12" outlineLevel="2" x14ac:dyDescent="0.2">
      <c r="A536" s="122" t="s">
        <v>1404</v>
      </c>
      <c r="B536" s="155" t="s">
        <v>879</v>
      </c>
      <c r="C536" s="155" t="s">
        <v>885</v>
      </c>
      <c r="D536" s="176">
        <v>1</v>
      </c>
      <c r="E536" s="69"/>
      <c r="F536" s="174"/>
      <c r="G536" s="175"/>
      <c r="H536" s="107"/>
      <c r="I536" s="202"/>
      <c r="J536" s="109" t="str">
        <f t="shared" si="32"/>
        <v/>
      </c>
      <c r="K536" s="109" t="s">
        <v>1768</v>
      </c>
      <c r="L536" s="110" t="str">
        <f t="shared" ca="1" si="33"/>
        <v/>
      </c>
    </row>
    <row r="537" spans="1:12" outlineLevel="2" x14ac:dyDescent="0.2">
      <c r="A537" s="122" t="s">
        <v>1405</v>
      </c>
      <c r="B537" s="155" t="s">
        <v>834</v>
      </c>
      <c r="C537" s="155" t="s">
        <v>862</v>
      </c>
      <c r="D537" s="176">
        <v>2</v>
      </c>
      <c r="E537" s="69"/>
      <c r="F537" s="174"/>
      <c r="G537" s="175"/>
      <c r="H537" s="107"/>
      <c r="I537" s="202"/>
      <c r="J537" s="109" t="str">
        <f t="shared" si="32"/>
        <v/>
      </c>
      <c r="K537" s="109" t="s">
        <v>1768</v>
      </c>
      <c r="L537" s="110" t="str">
        <f t="shared" ca="1" si="33"/>
        <v/>
      </c>
    </row>
    <row r="538" spans="1:12" outlineLevel="2" x14ac:dyDescent="0.2">
      <c r="A538" s="122" t="s">
        <v>1406</v>
      </c>
      <c r="B538" s="155" t="s">
        <v>880</v>
      </c>
      <c r="C538" s="155" t="s">
        <v>886</v>
      </c>
      <c r="D538" s="176">
        <v>1</v>
      </c>
      <c r="E538" s="69"/>
      <c r="F538" s="174"/>
      <c r="G538" s="175"/>
      <c r="H538" s="107"/>
      <c r="I538" s="202"/>
      <c r="J538" s="109" t="str">
        <f t="shared" si="32"/>
        <v/>
      </c>
      <c r="K538" s="109" t="s">
        <v>1768</v>
      </c>
      <c r="L538" s="110" t="str">
        <f t="shared" ca="1" si="33"/>
        <v/>
      </c>
    </row>
    <row r="539" spans="1:12" outlineLevel="2" x14ac:dyDescent="0.2">
      <c r="A539" s="122" t="s">
        <v>1407</v>
      </c>
      <c r="B539" s="155" t="s">
        <v>836</v>
      </c>
      <c r="C539" s="155" t="s">
        <v>864</v>
      </c>
      <c r="D539" s="176">
        <v>1</v>
      </c>
      <c r="E539" s="69"/>
      <c r="F539" s="174"/>
      <c r="G539" s="175"/>
      <c r="H539" s="107"/>
      <c r="I539" s="202"/>
      <c r="J539" s="109" t="str">
        <f t="shared" si="32"/>
        <v/>
      </c>
      <c r="K539" s="109" t="s">
        <v>1768</v>
      </c>
      <c r="L539" s="110" t="str">
        <f t="shared" ca="1" si="33"/>
        <v/>
      </c>
    </row>
    <row r="540" spans="1:12" outlineLevel="2" x14ac:dyDescent="0.2">
      <c r="A540" s="122" t="s">
        <v>1408</v>
      </c>
      <c r="B540" s="155" t="s">
        <v>837</v>
      </c>
      <c r="C540" s="155" t="s">
        <v>865</v>
      </c>
      <c r="D540" s="176">
        <v>1</v>
      </c>
      <c r="E540" s="69"/>
      <c r="F540" s="174"/>
      <c r="G540" s="175"/>
      <c r="H540" s="107"/>
      <c r="I540" s="202"/>
      <c r="J540" s="109" t="str">
        <f t="shared" si="32"/>
        <v/>
      </c>
      <c r="K540" s="109" t="s">
        <v>1768</v>
      </c>
      <c r="L540" s="110" t="str">
        <f t="shared" ca="1" si="33"/>
        <v/>
      </c>
    </row>
    <row r="541" spans="1:12" outlineLevel="2" x14ac:dyDescent="0.2">
      <c r="A541" s="122" t="s">
        <v>1409</v>
      </c>
      <c r="B541" s="155" t="s">
        <v>838</v>
      </c>
      <c r="C541" s="155" t="s">
        <v>866</v>
      </c>
      <c r="D541" s="176">
        <v>2</v>
      </c>
      <c r="E541" s="69"/>
      <c r="F541" s="174"/>
      <c r="G541" s="175"/>
      <c r="H541" s="107"/>
      <c r="I541" s="202"/>
      <c r="J541" s="109" t="str">
        <f t="shared" si="32"/>
        <v/>
      </c>
      <c r="K541" s="109" t="s">
        <v>1768</v>
      </c>
      <c r="L541" s="110" t="str">
        <f t="shared" ca="1" si="33"/>
        <v/>
      </c>
    </row>
    <row r="542" spans="1:12" outlineLevel="2" x14ac:dyDescent="0.2">
      <c r="A542" s="122" t="s">
        <v>1410</v>
      </c>
      <c r="B542" s="155" t="s">
        <v>839</v>
      </c>
      <c r="C542" s="155" t="s">
        <v>867</v>
      </c>
      <c r="D542" s="176">
        <v>4</v>
      </c>
      <c r="E542" s="69"/>
      <c r="F542" s="174"/>
      <c r="G542" s="175"/>
      <c r="H542" s="107"/>
      <c r="I542" s="202"/>
      <c r="J542" s="109" t="str">
        <f t="shared" si="32"/>
        <v/>
      </c>
      <c r="K542" s="109" t="s">
        <v>1768</v>
      </c>
      <c r="L542" s="110" t="str">
        <f t="shared" ca="1" si="33"/>
        <v/>
      </c>
    </row>
    <row r="543" spans="1:12" outlineLevel="2" x14ac:dyDescent="0.2">
      <c r="A543" s="122" t="s">
        <v>1411</v>
      </c>
      <c r="B543" s="155" t="s">
        <v>840</v>
      </c>
      <c r="C543" s="155" t="s">
        <v>868</v>
      </c>
      <c r="D543" s="176">
        <v>3</v>
      </c>
      <c r="E543" s="69"/>
      <c r="F543" s="174"/>
      <c r="G543" s="175"/>
      <c r="H543" s="107"/>
      <c r="I543" s="202"/>
      <c r="J543" s="109" t="str">
        <f t="shared" si="32"/>
        <v/>
      </c>
      <c r="K543" s="109" t="s">
        <v>1768</v>
      </c>
      <c r="L543" s="110" t="str">
        <f t="shared" ca="1" si="33"/>
        <v/>
      </c>
    </row>
    <row r="544" spans="1:12" outlineLevel="2" x14ac:dyDescent="0.2">
      <c r="A544" s="122" t="s">
        <v>1412</v>
      </c>
      <c r="B544" s="155" t="s">
        <v>841</v>
      </c>
      <c r="C544" s="155" t="s">
        <v>869</v>
      </c>
      <c r="D544" s="176">
        <v>6</v>
      </c>
      <c r="E544" s="69"/>
      <c r="F544" s="174"/>
      <c r="G544" s="175"/>
      <c r="H544" s="107"/>
      <c r="I544" s="202"/>
      <c r="J544" s="109" t="str">
        <f t="shared" si="32"/>
        <v/>
      </c>
      <c r="K544" s="109" t="s">
        <v>1768</v>
      </c>
      <c r="L544" s="110" t="str">
        <f t="shared" ca="1" si="33"/>
        <v/>
      </c>
    </row>
    <row r="545" spans="1:12" outlineLevel="2" x14ac:dyDescent="0.2">
      <c r="A545" s="122" t="s">
        <v>1413</v>
      </c>
      <c r="B545" s="155" t="s">
        <v>842</v>
      </c>
      <c r="C545" s="155" t="s">
        <v>870</v>
      </c>
      <c r="D545" s="176">
        <v>15</v>
      </c>
      <c r="E545" s="69"/>
      <c r="F545" s="174"/>
      <c r="G545" s="175"/>
      <c r="H545" s="107"/>
      <c r="I545" s="202"/>
      <c r="J545" s="109" t="str">
        <f t="shared" si="32"/>
        <v/>
      </c>
      <c r="K545" s="109" t="s">
        <v>1768</v>
      </c>
      <c r="L545" s="110" t="str">
        <f t="shared" ca="1" si="33"/>
        <v/>
      </c>
    </row>
    <row r="546" spans="1:12" outlineLevel="2" x14ac:dyDescent="0.2">
      <c r="A546" s="122" t="s">
        <v>1414</v>
      </c>
      <c r="B546" s="155" t="s">
        <v>843</v>
      </c>
      <c r="C546" s="155" t="s">
        <v>871</v>
      </c>
      <c r="D546" s="176">
        <v>18</v>
      </c>
      <c r="E546" s="69"/>
      <c r="F546" s="174"/>
      <c r="G546" s="175"/>
      <c r="H546" s="107"/>
      <c r="I546" s="202"/>
      <c r="J546" s="109" t="str">
        <f t="shared" si="32"/>
        <v/>
      </c>
      <c r="K546" s="109" t="s">
        <v>1768</v>
      </c>
      <c r="L546" s="110" t="str">
        <f t="shared" ca="1" si="33"/>
        <v/>
      </c>
    </row>
    <row r="547" spans="1:12" outlineLevel="2" x14ac:dyDescent="0.2">
      <c r="A547" s="122" t="s">
        <v>1415</v>
      </c>
      <c r="B547" s="155" t="s">
        <v>844</v>
      </c>
      <c r="C547" s="155" t="s">
        <v>872</v>
      </c>
      <c r="D547" s="176">
        <v>1</v>
      </c>
      <c r="E547" s="69"/>
      <c r="F547" s="174"/>
      <c r="G547" s="175"/>
      <c r="H547" s="107"/>
      <c r="I547" s="202"/>
      <c r="J547" s="109" t="str">
        <f t="shared" si="32"/>
        <v/>
      </c>
      <c r="K547" s="109" t="s">
        <v>1768</v>
      </c>
      <c r="L547" s="110" t="str">
        <f t="shared" ca="1" si="33"/>
        <v/>
      </c>
    </row>
    <row r="548" spans="1:12" outlineLevel="2" x14ac:dyDescent="0.2">
      <c r="A548" s="122" t="s">
        <v>1416</v>
      </c>
      <c r="B548" s="155" t="s">
        <v>845</v>
      </c>
      <c r="C548" s="155" t="s">
        <v>873</v>
      </c>
      <c r="D548" s="176">
        <v>2</v>
      </c>
      <c r="E548" s="69"/>
      <c r="F548" s="174"/>
      <c r="G548" s="175"/>
      <c r="H548" s="107"/>
      <c r="I548" s="202"/>
      <c r="J548" s="109" t="str">
        <f t="shared" si="32"/>
        <v/>
      </c>
      <c r="K548" s="109" t="s">
        <v>1768</v>
      </c>
      <c r="L548" s="110" t="str">
        <f t="shared" ca="1" si="33"/>
        <v/>
      </c>
    </row>
    <row r="549" spans="1:12" ht="13.5" outlineLevel="2" thickBot="1" x14ac:dyDescent="0.25">
      <c r="A549" s="122" t="s">
        <v>1417</v>
      </c>
      <c r="B549" s="165" t="s">
        <v>846</v>
      </c>
      <c r="C549" s="165" t="s">
        <v>874</v>
      </c>
      <c r="D549" s="177">
        <v>1</v>
      </c>
      <c r="E549" s="81"/>
      <c r="F549" s="178"/>
      <c r="G549" s="179"/>
      <c r="H549" s="108"/>
      <c r="I549" s="205"/>
      <c r="J549" s="129" t="str">
        <f t="shared" si="32"/>
        <v/>
      </c>
      <c r="K549" s="129" t="s">
        <v>1768</v>
      </c>
      <c r="L549" s="130" t="str">
        <f t="shared" ca="1" si="33"/>
        <v/>
      </c>
    </row>
    <row r="550" spans="1:12" ht="13.5" outlineLevel="2" thickBot="1" x14ac:dyDescent="0.25">
      <c r="A550" s="140"/>
      <c r="B550" s="83"/>
      <c r="C550" s="154"/>
      <c r="D550" s="151"/>
      <c r="E550" s="229"/>
      <c r="F550" s="230"/>
      <c r="G550" s="231"/>
      <c r="H550" s="222"/>
      <c r="I550" s="223"/>
      <c r="J550" s="224" t="str">
        <f t="shared" si="32"/>
        <v/>
      </c>
      <c r="K550" s="224" t="s">
        <v>1768</v>
      </c>
      <c r="L550" s="225" t="str">
        <f t="shared" ca="1" si="33"/>
        <v/>
      </c>
    </row>
    <row r="551" spans="1:12" outlineLevel="2" x14ac:dyDescent="0.2">
      <c r="A551" s="352">
        <v>16</v>
      </c>
      <c r="B551" s="354" t="s">
        <v>267</v>
      </c>
      <c r="C551" s="356" t="s">
        <v>268</v>
      </c>
      <c r="D551" s="358">
        <f>F552</f>
        <v>1</v>
      </c>
      <c r="E551" s="375">
        <v>3423658.12</v>
      </c>
      <c r="F551" s="232">
        <v>3423658.12</v>
      </c>
      <c r="G551" s="228"/>
      <c r="H551" s="365" t="s">
        <v>468</v>
      </c>
      <c r="I551" s="204"/>
      <c r="J551" s="131" t="str">
        <f t="shared" si="32"/>
        <v/>
      </c>
      <c r="K551" s="131" t="s">
        <v>1768</v>
      </c>
      <c r="L551" s="132" t="str">
        <f t="shared" ca="1" si="33"/>
        <v/>
      </c>
    </row>
    <row r="552" spans="1:12" outlineLevel="2" x14ac:dyDescent="0.2">
      <c r="A552" s="353"/>
      <c r="B552" s="355"/>
      <c r="C552" s="357"/>
      <c r="D552" s="359"/>
      <c r="E552" s="361">
        <v>1</v>
      </c>
      <c r="F552" s="174">
        <v>1</v>
      </c>
      <c r="G552" s="175"/>
      <c r="H552" s="366"/>
      <c r="I552" s="202"/>
      <c r="J552" s="109" t="str">
        <f t="shared" si="32"/>
        <v/>
      </c>
      <c r="K552" s="109" t="s">
        <v>1768</v>
      </c>
      <c r="L552" s="110" t="str">
        <f t="shared" ca="1" si="33"/>
        <v/>
      </c>
    </row>
    <row r="553" spans="1:12" outlineLevel="2" x14ac:dyDescent="0.2">
      <c r="A553" s="122" t="s">
        <v>1466</v>
      </c>
      <c r="B553" s="155" t="s">
        <v>887</v>
      </c>
      <c r="C553" s="155" t="s">
        <v>894</v>
      </c>
      <c r="D553" s="176">
        <v>0</v>
      </c>
      <c r="E553" s="69"/>
      <c r="F553" s="174"/>
      <c r="G553" s="175"/>
      <c r="H553" s="107"/>
      <c r="I553" s="202"/>
      <c r="J553" s="109" t="str">
        <f t="shared" si="32"/>
        <v/>
      </c>
      <c r="K553" s="109" t="s">
        <v>1768</v>
      </c>
      <c r="L553" s="110" t="str">
        <f t="shared" ca="1" si="33"/>
        <v/>
      </c>
    </row>
    <row r="554" spans="1:12" outlineLevel="2" x14ac:dyDescent="0.2">
      <c r="A554" s="122" t="s">
        <v>1504</v>
      </c>
      <c r="B554" s="155" t="s">
        <v>1418</v>
      </c>
      <c r="C554" s="155"/>
      <c r="D554" s="176">
        <v>1</v>
      </c>
      <c r="E554" s="69"/>
      <c r="F554" s="174"/>
      <c r="G554" s="175"/>
      <c r="H554" s="107"/>
      <c r="I554" s="202" t="s">
        <v>1554</v>
      </c>
      <c r="J554" s="109" t="str">
        <f t="shared" si="32"/>
        <v>A</v>
      </c>
      <c r="K554" s="109" t="s">
        <v>1776</v>
      </c>
      <c r="L554" s="110">
        <f t="shared" ref="L554:L618" ca="1" si="34">IF(I554="","",TODAY())</f>
        <v>46077</v>
      </c>
    </row>
    <row r="555" spans="1:12" outlineLevel="2" x14ac:dyDescent="0.2">
      <c r="A555" s="122" t="s">
        <v>1505</v>
      </c>
      <c r="B555" s="155" t="s">
        <v>1008</v>
      </c>
      <c r="C555" s="155"/>
      <c r="D555" s="176">
        <v>1</v>
      </c>
      <c r="E555" s="69"/>
      <c r="F555" s="174"/>
      <c r="G555" s="175"/>
      <c r="H555" s="107"/>
      <c r="I555" s="202" t="s">
        <v>1554</v>
      </c>
      <c r="J555" s="109" t="str">
        <f t="shared" si="32"/>
        <v>A</v>
      </c>
      <c r="K555" s="109" t="s">
        <v>1777</v>
      </c>
      <c r="L555" s="110">
        <f t="shared" ca="1" si="34"/>
        <v>46077</v>
      </c>
    </row>
    <row r="556" spans="1:12" outlineLevel="2" x14ac:dyDescent="0.2">
      <c r="A556" s="122" t="s">
        <v>1506</v>
      </c>
      <c r="B556" s="155" t="s">
        <v>1419</v>
      </c>
      <c r="C556" s="155"/>
      <c r="D556" s="176">
        <v>1</v>
      </c>
      <c r="E556" s="69"/>
      <c r="F556" s="174"/>
      <c r="G556" s="175"/>
      <c r="H556" s="107"/>
      <c r="I556" s="202" t="s">
        <v>1553</v>
      </c>
      <c r="J556" s="109" t="str">
        <f t="shared" si="32"/>
        <v>A</v>
      </c>
      <c r="K556" s="109" t="s">
        <v>1778</v>
      </c>
      <c r="L556" s="110">
        <f t="shared" ca="1" si="34"/>
        <v>46077</v>
      </c>
    </row>
    <row r="557" spans="1:12" outlineLevel="2" x14ac:dyDescent="0.2">
      <c r="A557" s="122" t="s">
        <v>1507</v>
      </c>
      <c r="B557" s="155" t="s">
        <v>1009</v>
      </c>
      <c r="C557" s="155"/>
      <c r="D557" s="176">
        <v>1</v>
      </c>
      <c r="E557" s="69"/>
      <c r="F557" s="174"/>
      <c r="G557" s="175"/>
      <c r="H557" s="107"/>
      <c r="I557" s="202" t="s">
        <v>1553</v>
      </c>
      <c r="J557" s="109" t="str">
        <f t="shared" si="32"/>
        <v>A</v>
      </c>
      <c r="K557" s="109" t="s">
        <v>1634</v>
      </c>
      <c r="L557" s="110">
        <f t="shared" ca="1" si="34"/>
        <v>46077</v>
      </c>
    </row>
    <row r="558" spans="1:12" outlineLevel="2" x14ac:dyDescent="0.2">
      <c r="A558" s="122" t="s">
        <v>1508</v>
      </c>
      <c r="B558" s="155" t="s">
        <v>1010</v>
      </c>
      <c r="C558" s="155"/>
      <c r="D558" s="176">
        <v>1</v>
      </c>
      <c r="E558" s="69"/>
      <c r="F558" s="174"/>
      <c r="G558" s="175"/>
      <c r="H558" s="107"/>
      <c r="I558" s="202" t="s">
        <v>1553</v>
      </c>
      <c r="J558" s="109" t="str">
        <f t="shared" si="32"/>
        <v>A</v>
      </c>
      <c r="K558" s="109" t="s">
        <v>1635</v>
      </c>
      <c r="L558" s="110">
        <f t="shared" ca="1" si="34"/>
        <v>46077</v>
      </c>
    </row>
    <row r="559" spans="1:12" outlineLevel="2" x14ac:dyDescent="0.2">
      <c r="A559" s="122" t="s">
        <v>1509</v>
      </c>
      <c r="B559" s="155" t="s">
        <v>1011</v>
      </c>
      <c r="C559" s="155"/>
      <c r="D559" s="176">
        <v>1</v>
      </c>
      <c r="E559" s="69"/>
      <c r="F559" s="174"/>
      <c r="G559" s="175"/>
      <c r="H559" s="107"/>
      <c r="I559" s="202" t="s">
        <v>1554</v>
      </c>
      <c r="J559" s="109" t="str">
        <f t="shared" si="32"/>
        <v>A</v>
      </c>
      <c r="K559" s="109" t="s">
        <v>1636</v>
      </c>
      <c r="L559" s="110">
        <f t="shared" ca="1" si="34"/>
        <v>46077</v>
      </c>
    </row>
    <row r="560" spans="1:12" outlineLevel="2" x14ac:dyDescent="0.2">
      <c r="A560" s="122" t="s">
        <v>1510</v>
      </c>
      <c r="B560" s="155" t="s">
        <v>1012</v>
      </c>
      <c r="C560" s="155"/>
      <c r="D560" s="176">
        <v>1</v>
      </c>
      <c r="E560" s="69"/>
      <c r="F560" s="174"/>
      <c r="G560" s="175"/>
      <c r="H560" s="107"/>
      <c r="I560" s="202" t="s">
        <v>1553</v>
      </c>
      <c r="J560" s="109" t="str">
        <f t="shared" si="32"/>
        <v>A</v>
      </c>
      <c r="K560" s="109" t="s">
        <v>1637</v>
      </c>
      <c r="L560" s="110">
        <f t="shared" ca="1" si="34"/>
        <v>46077</v>
      </c>
    </row>
    <row r="561" spans="1:12" outlineLevel="2" x14ac:dyDescent="0.2">
      <c r="A561" s="122" t="s">
        <v>1511</v>
      </c>
      <c r="B561" s="155" t="s">
        <v>1013</v>
      </c>
      <c r="C561" s="155"/>
      <c r="D561" s="176">
        <v>1</v>
      </c>
      <c r="E561" s="69"/>
      <c r="F561" s="174"/>
      <c r="G561" s="175"/>
      <c r="H561" s="107"/>
      <c r="I561" s="202" t="s">
        <v>1553</v>
      </c>
      <c r="J561" s="109" t="str">
        <f t="shared" si="32"/>
        <v>A</v>
      </c>
      <c r="K561" s="109" t="s">
        <v>1638</v>
      </c>
      <c r="L561" s="110">
        <f t="shared" ca="1" si="34"/>
        <v>46077</v>
      </c>
    </row>
    <row r="562" spans="1:12" outlineLevel="2" x14ac:dyDescent="0.2">
      <c r="A562" s="122" t="s">
        <v>1512</v>
      </c>
      <c r="B562" s="155" t="s">
        <v>1014</v>
      </c>
      <c r="C562" s="155"/>
      <c r="D562" s="176">
        <v>1</v>
      </c>
      <c r="E562" s="69"/>
      <c r="F562" s="174"/>
      <c r="G562" s="175"/>
      <c r="H562" s="107"/>
      <c r="I562" s="202" t="s">
        <v>1553</v>
      </c>
      <c r="J562" s="109" t="str">
        <f t="shared" si="32"/>
        <v>A</v>
      </c>
      <c r="K562" s="109" t="s">
        <v>1639</v>
      </c>
      <c r="L562" s="110">
        <f t="shared" ca="1" si="34"/>
        <v>46077</v>
      </c>
    </row>
    <row r="563" spans="1:12" outlineLevel="2" x14ac:dyDescent="0.2">
      <c r="A563" s="122" t="s">
        <v>1513</v>
      </c>
      <c r="B563" s="155" t="s">
        <v>1015</v>
      </c>
      <c r="C563" s="155"/>
      <c r="D563" s="176">
        <v>1</v>
      </c>
      <c r="E563" s="69"/>
      <c r="F563" s="174"/>
      <c r="G563" s="175"/>
      <c r="H563" s="107"/>
      <c r="I563" s="202" t="s">
        <v>1553</v>
      </c>
      <c r="J563" s="109" t="str">
        <f t="shared" si="32"/>
        <v>A</v>
      </c>
      <c r="K563" s="109" t="s">
        <v>1640</v>
      </c>
      <c r="L563" s="110">
        <f t="shared" ca="1" si="34"/>
        <v>46077</v>
      </c>
    </row>
    <row r="564" spans="1:12" outlineLevel="2" x14ac:dyDescent="0.2">
      <c r="A564" s="122" t="s">
        <v>1514</v>
      </c>
      <c r="B564" s="155" t="s">
        <v>1016</v>
      </c>
      <c r="C564" s="155"/>
      <c r="D564" s="176">
        <v>1</v>
      </c>
      <c r="E564" s="69"/>
      <c r="F564" s="174"/>
      <c r="G564" s="175"/>
      <c r="H564" s="107"/>
      <c r="I564" s="202" t="s">
        <v>1554</v>
      </c>
      <c r="J564" s="109" t="str">
        <f t="shared" si="32"/>
        <v>A</v>
      </c>
      <c r="K564" s="109" t="s">
        <v>1641</v>
      </c>
      <c r="L564" s="110">
        <f t="shared" ca="1" si="34"/>
        <v>46077</v>
      </c>
    </row>
    <row r="565" spans="1:12" outlineLevel="2" x14ac:dyDescent="0.2">
      <c r="A565" s="122" t="s">
        <v>1515</v>
      </c>
      <c r="B565" s="155" t="s">
        <v>1017</v>
      </c>
      <c r="C565" s="155"/>
      <c r="D565" s="176">
        <v>1</v>
      </c>
      <c r="E565" s="69"/>
      <c r="F565" s="174"/>
      <c r="G565" s="175"/>
      <c r="H565" s="107"/>
      <c r="I565" s="202" t="s">
        <v>1554</v>
      </c>
      <c r="J565" s="109" t="str">
        <f t="shared" si="32"/>
        <v>A</v>
      </c>
      <c r="K565" s="109" t="s">
        <v>1642</v>
      </c>
      <c r="L565" s="110">
        <f t="shared" ca="1" si="34"/>
        <v>46077</v>
      </c>
    </row>
    <row r="566" spans="1:12" outlineLevel="2" x14ac:dyDescent="0.2">
      <c r="A566" s="122" t="s">
        <v>1516</v>
      </c>
      <c r="B566" s="155" t="s">
        <v>1018</v>
      </c>
      <c r="C566" s="155"/>
      <c r="D566" s="176">
        <v>1</v>
      </c>
      <c r="E566" s="69"/>
      <c r="F566" s="174"/>
      <c r="G566" s="175"/>
      <c r="H566" s="107"/>
      <c r="I566" s="202" t="s">
        <v>1554</v>
      </c>
      <c r="J566" s="109" t="str">
        <f t="shared" si="32"/>
        <v>A</v>
      </c>
      <c r="K566" s="109" t="s">
        <v>1643</v>
      </c>
      <c r="L566" s="110">
        <f t="shared" ca="1" si="34"/>
        <v>46077</v>
      </c>
    </row>
    <row r="567" spans="1:12" outlineLevel="2" x14ac:dyDescent="0.2">
      <c r="A567" s="122" t="s">
        <v>1517</v>
      </c>
      <c r="B567" s="155" t="s">
        <v>1095</v>
      </c>
      <c r="C567" s="155"/>
      <c r="D567" s="176">
        <v>1</v>
      </c>
      <c r="E567" s="69"/>
      <c r="F567" s="174"/>
      <c r="G567" s="175"/>
      <c r="H567" s="107"/>
      <c r="I567" s="202" t="s">
        <v>1553</v>
      </c>
      <c r="J567" s="109" t="str">
        <f t="shared" si="32"/>
        <v>A</v>
      </c>
      <c r="K567" s="109" t="s">
        <v>1644</v>
      </c>
      <c r="L567" s="110">
        <f t="shared" ca="1" si="34"/>
        <v>46077</v>
      </c>
    </row>
    <row r="568" spans="1:12" outlineLevel="2" x14ac:dyDescent="0.2">
      <c r="A568" s="122" t="s">
        <v>1518</v>
      </c>
      <c r="B568" s="155" t="s">
        <v>1096</v>
      </c>
      <c r="C568" s="155"/>
      <c r="D568" s="176">
        <v>1</v>
      </c>
      <c r="E568" s="69"/>
      <c r="F568" s="174"/>
      <c r="G568" s="175"/>
      <c r="H568" s="107"/>
      <c r="I568" s="202" t="s">
        <v>1553</v>
      </c>
      <c r="J568" s="109" t="str">
        <f t="shared" si="32"/>
        <v>A</v>
      </c>
      <c r="K568" s="109" t="s">
        <v>1645</v>
      </c>
      <c r="L568" s="110">
        <f t="shared" ca="1" si="34"/>
        <v>46077</v>
      </c>
    </row>
    <row r="569" spans="1:12" outlineLevel="2" x14ac:dyDescent="0.2">
      <c r="A569" s="122" t="s">
        <v>1519</v>
      </c>
      <c r="B569" s="155" t="s">
        <v>1097</v>
      </c>
      <c r="C569" s="155"/>
      <c r="D569" s="176">
        <v>1</v>
      </c>
      <c r="E569" s="69"/>
      <c r="F569" s="174"/>
      <c r="G569" s="175"/>
      <c r="H569" s="107"/>
      <c r="I569" s="202" t="s">
        <v>1554</v>
      </c>
      <c r="J569" s="109" t="str">
        <f t="shared" si="32"/>
        <v>A</v>
      </c>
      <c r="K569" s="109" t="s">
        <v>1646</v>
      </c>
      <c r="L569" s="110">
        <f t="shared" ca="1" si="34"/>
        <v>46077</v>
      </c>
    </row>
    <row r="570" spans="1:12" outlineLevel="2" x14ac:dyDescent="0.2">
      <c r="A570" s="122" t="s">
        <v>1520</v>
      </c>
      <c r="B570" s="155" t="s">
        <v>1098</v>
      </c>
      <c r="C570" s="155"/>
      <c r="D570" s="176">
        <v>4</v>
      </c>
      <c r="E570" s="69"/>
      <c r="F570" s="174"/>
      <c r="G570" s="175"/>
      <c r="H570" s="107"/>
      <c r="I570" s="202" t="s">
        <v>1553</v>
      </c>
      <c r="J570" s="109" t="str">
        <f t="shared" si="32"/>
        <v>A</v>
      </c>
      <c r="K570" s="109" t="s">
        <v>1647</v>
      </c>
      <c r="L570" s="110">
        <f t="shared" ca="1" si="34"/>
        <v>46077</v>
      </c>
    </row>
    <row r="571" spans="1:12" outlineLevel="2" x14ac:dyDescent="0.2">
      <c r="A571" s="122" t="s">
        <v>1521</v>
      </c>
      <c r="B571" s="155" t="s">
        <v>1100</v>
      </c>
      <c r="C571" s="155"/>
      <c r="D571" s="176">
        <v>1</v>
      </c>
      <c r="E571" s="69"/>
      <c r="F571" s="174"/>
      <c r="G571" s="175"/>
      <c r="H571" s="107"/>
      <c r="I571" s="202" t="s">
        <v>1553</v>
      </c>
      <c r="J571" s="109" t="str">
        <f t="shared" si="32"/>
        <v>A</v>
      </c>
      <c r="K571" s="109" t="s">
        <v>1648</v>
      </c>
      <c r="L571" s="110">
        <f t="shared" ca="1" si="34"/>
        <v>46077</v>
      </c>
    </row>
    <row r="572" spans="1:12" outlineLevel="2" x14ac:dyDescent="0.2">
      <c r="A572" s="122" t="s">
        <v>1522</v>
      </c>
      <c r="B572" s="155" t="s">
        <v>1099</v>
      </c>
      <c r="C572" s="155"/>
      <c r="D572" s="176">
        <v>1</v>
      </c>
      <c r="E572" s="69"/>
      <c r="F572" s="174"/>
      <c r="G572" s="175"/>
      <c r="H572" s="107"/>
      <c r="I572" s="202" t="s">
        <v>1553</v>
      </c>
      <c r="J572" s="109" t="str">
        <f t="shared" si="32"/>
        <v>A</v>
      </c>
      <c r="K572" s="109" t="s">
        <v>1649</v>
      </c>
      <c r="L572" s="110">
        <f t="shared" ca="1" si="34"/>
        <v>46077</v>
      </c>
    </row>
    <row r="573" spans="1:12" outlineLevel="2" x14ac:dyDescent="0.2">
      <c r="A573" s="122" t="s">
        <v>1523</v>
      </c>
      <c r="B573" s="155" t="s">
        <v>1465</v>
      </c>
      <c r="C573" s="155"/>
      <c r="D573" s="176">
        <v>1</v>
      </c>
      <c r="E573" s="69"/>
      <c r="F573" s="174"/>
      <c r="G573" s="175"/>
      <c r="H573" s="107"/>
      <c r="I573" s="202" t="s">
        <v>1554</v>
      </c>
      <c r="J573" s="109" t="str">
        <f t="shared" si="32"/>
        <v>A</v>
      </c>
      <c r="K573" s="109" t="s">
        <v>1779</v>
      </c>
      <c r="L573" s="110">
        <f t="shared" ca="1" si="34"/>
        <v>46077</v>
      </c>
    </row>
    <row r="574" spans="1:12" outlineLevel="2" x14ac:dyDescent="0.2">
      <c r="A574" s="122" t="s">
        <v>1524</v>
      </c>
      <c r="B574" s="155" t="s">
        <v>1101</v>
      </c>
      <c r="C574" s="155"/>
      <c r="D574" s="176">
        <v>1</v>
      </c>
      <c r="E574" s="69"/>
      <c r="F574" s="174"/>
      <c r="G574" s="175"/>
      <c r="H574" s="107"/>
      <c r="I574" s="202" t="s">
        <v>1553</v>
      </c>
      <c r="J574" s="109" t="str">
        <f t="shared" si="32"/>
        <v>A</v>
      </c>
      <c r="K574" s="109" t="s">
        <v>1650</v>
      </c>
      <c r="L574" s="110">
        <f t="shared" ca="1" si="34"/>
        <v>46077</v>
      </c>
    </row>
    <row r="575" spans="1:12" outlineLevel="2" x14ac:dyDescent="0.2">
      <c r="A575" s="122" t="s">
        <v>1525</v>
      </c>
      <c r="B575" s="155" t="s">
        <v>1103</v>
      </c>
      <c r="C575" s="155"/>
      <c r="D575" s="176">
        <v>2</v>
      </c>
      <c r="E575" s="69"/>
      <c r="F575" s="174"/>
      <c r="G575" s="175"/>
      <c r="H575" s="107"/>
      <c r="I575" s="202" t="s">
        <v>1553</v>
      </c>
      <c r="J575" s="109" t="str">
        <f t="shared" si="32"/>
        <v>A</v>
      </c>
      <c r="K575" s="109" t="s">
        <v>1652</v>
      </c>
      <c r="L575" s="110">
        <f t="shared" ca="1" si="34"/>
        <v>46077</v>
      </c>
    </row>
    <row r="576" spans="1:12" outlineLevel="2" x14ac:dyDescent="0.2">
      <c r="A576" s="122" t="s">
        <v>1526</v>
      </c>
      <c r="B576" s="155" t="s">
        <v>1104</v>
      </c>
      <c r="C576" s="155"/>
      <c r="D576" s="176">
        <v>1</v>
      </c>
      <c r="E576" s="69"/>
      <c r="F576" s="174"/>
      <c r="G576" s="175"/>
      <c r="H576" s="107"/>
      <c r="I576" s="202" t="s">
        <v>1553</v>
      </c>
      <c r="J576" s="109" t="str">
        <f t="shared" si="32"/>
        <v>A</v>
      </c>
      <c r="K576" s="109" t="s">
        <v>1653</v>
      </c>
      <c r="L576" s="110">
        <f t="shared" ca="1" si="34"/>
        <v>46077</v>
      </c>
    </row>
    <row r="577" spans="1:12" outlineLevel="2" x14ac:dyDescent="0.2">
      <c r="A577" s="122" t="s">
        <v>1527</v>
      </c>
      <c r="B577" s="155" t="s">
        <v>1105</v>
      </c>
      <c r="C577" s="155"/>
      <c r="D577" s="176">
        <v>1</v>
      </c>
      <c r="E577" s="69"/>
      <c r="F577" s="174"/>
      <c r="G577" s="175"/>
      <c r="H577" s="107"/>
      <c r="I577" s="202" t="s">
        <v>1553</v>
      </c>
      <c r="J577" s="109" t="str">
        <f t="shared" si="32"/>
        <v>A</v>
      </c>
      <c r="K577" s="109" t="s">
        <v>1654</v>
      </c>
      <c r="L577" s="110">
        <f t="shared" ca="1" si="34"/>
        <v>46077</v>
      </c>
    </row>
    <row r="578" spans="1:12" outlineLevel="2" x14ac:dyDescent="0.2">
      <c r="A578" s="122" t="s">
        <v>1528</v>
      </c>
      <c r="B578" s="155" t="s">
        <v>1106</v>
      </c>
      <c r="C578" s="155"/>
      <c r="D578" s="176">
        <v>1</v>
      </c>
      <c r="E578" s="69"/>
      <c r="F578" s="174"/>
      <c r="G578" s="175"/>
      <c r="H578" s="107"/>
      <c r="I578" s="202" t="s">
        <v>1554</v>
      </c>
      <c r="J578" s="109" t="str">
        <f t="shared" si="32"/>
        <v>A</v>
      </c>
      <c r="K578" s="109" t="s">
        <v>1655</v>
      </c>
      <c r="L578" s="110">
        <f t="shared" ca="1" si="34"/>
        <v>46077</v>
      </c>
    </row>
    <row r="579" spans="1:12" outlineLevel="2" x14ac:dyDescent="0.2">
      <c r="A579" s="122" t="s">
        <v>1529</v>
      </c>
      <c r="B579" s="155" t="s">
        <v>1107</v>
      </c>
      <c r="C579" s="155"/>
      <c r="D579" s="176">
        <v>1</v>
      </c>
      <c r="E579" s="69"/>
      <c r="F579" s="174"/>
      <c r="G579" s="175"/>
      <c r="H579" s="107"/>
      <c r="I579" s="202" t="s">
        <v>1554</v>
      </c>
      <c r="J579" s="109" t="str">
        <f t="shared" si="32"/>
        <v>A</v>
      </c>
      <c r="K579" s="109" t="s">
        <v>1656</v>
      </c>
      <c r="L579" s="110">
        <f t="shared" ca="1" si="34"/>
        <v>46077</v>
      </c>
    </row>
    <row r="580" spans="1:12" outlineLevel="2" x14ac:dyDescent="0.2">
      <c r="A580" s="122" t="s">
        <v>1530</v>
      </c>
      <c r="B580" s="155" t="s">
        <v>1467</v>
      </c>
      <c r="C580" s="155"/>
      <c r="D580" s="176">
        <v>1</v>
      </c>
      <c r="E580" s="69"/>
      <c r="F580" s="174"/>
      <c r="G580" s="175"/>
      <c r="H580" s="107"/>
      <c r="I580" s="202" t="s">
        <v>1554</v>
      </c>
      <c r="J580" s="109" t="str">
        <f t="shared" si="32"/>
        <v>A</v>
      </c>
      <c r="K580" s="109" t="s">
        <v>1780</v>
      </c>
      <c r="L580" s="110">
        <f t="shared" ca="1" si="34"/>
        <v>46077</v>
      </c>
    </row>
    <row r="581" spans="1:12" outlineLevel="2" x14ac:dyDescent="0.2">
      <c r="A581" s="122" t="s">
        <v>1531</v>
      </c>
      <c r="B581" s="155" t="s">
        <v>1108</v>
      </c>
      <c r="C581" s="155"/>
      <c r="D581" s="176">
        <v>1</v>
      </c>
      <c r="E581" s="69"/>
      <c r="F581" s="174"/>
      <c r="G581" s="175"/>
      <c r="H581" s="107"/>
      <c r="I581" s="202" t="s">
        <v>1553</v>
      </c>
      <c r="J581" s="109" t="str">
        <f t="shared" si="32"/>
        <v>A</v>
      </c>
      <c r="K581" s="109" t="s">
        <v>1657</v>
      </c>
      <c r="L581" s="110">
        <f t="shared" ca="1" si="34"/>
        <v>46077</v>
      </c>
    </row>
    <row r="582" spans="1:12" outlineLevel="2" x14ac:dyDescent="0.2">
      <c r="A582" s="122" t="s">
        <v>1532</v>
      </c>
      <c r="B582" s="155" t="s">
        <v>1109</v>
      </c>
      <c r="C582" s="155"/>
      <c r="D582" s="176">
        <v>1</v>
      </c>
      <c r="E582" s="69"/>
      <c r="F582" s="174"/>
      <c r="G582" s="175"/>
      <c r="H582" s="107"/>
      <c r="I582" s="202" t="s">
        <v>1554</v>
      </c>
      <c r="J582" s="109" t="str">
        <f t="shared" si="32"/>
        <v>A</v>
      </c>
      <c r="K582" s="109" t="s">
        <v>1658</v>
      </c>
      <c r="L582" s="110">
        <f t="shared" ca="1" si="34"/>
        <v>46077</v>
      </c>
    </row>
    <row r="583" spans="1:12" outlineLevel="2" x14ac:dyDescent="0.2">
      <c r="A583" s="122" t="s">
        <v>1533</v>
      </c>
      <c r="B583" s="155" t="s">
        <v>1391</v>
      </c>
      <c r="C583" s="155"/>
      <c r="D583" s="176">
        <v>1</v>
      </c>
      <c r="E583" s="69"/>
      <c r="F583" s="174"/>
      <c r="G583" s="175"/>
      <c r="H583" s="107"/>
      <c r="I583" s="202" t="s">
        <v>1554</v>
      </c>
      <c r="J583" s="109" t="str">
        <f t="shared" ref="J583" si="35">IF(I583="","", "A")</f>
        <v>A</v>
      </c>
      <c r="K583" s="109" t="s">
        <v>1659</v>
      </c>
      <c r="L583" s="110">
        <f t="shared" ca="1" si="34"/>
        <v>46077</v>
      </c>
    </row>
    <row r="584" spans="1:12" outlineLevel="2" x14ac:dyDescent="0.2">
      <c r="A584" s="122" t="s">
        <v>1534</v>
      </c>
      <c r="B584" s="155" t="s">
        <v>1468</v>
      </c>
      <c r="C584" s="155"/>
      <c r="D584" s="176">
        <v>1</v>
      </c>
      <c r="E584" s="69"/>
      <c r="F584" s="174"/>
      <c r="G584" s="175"/>
      <c r="H584" s="107"/>
      <c r="I584" s="202" t="s">
        <v>1553</v>
      </c>
      <c r="J584" s="109" t="str">
        <f t="shared" si="32"/>
        <v>A</v>
      </c>
      <c r="K584" s="109" t="s">
        <v>1781</v>
      </c>
      <c r="L584" s="110">
        <f t="shared" ca="1" si="34"/>
        <v>46077</v>
      </c>
    </row>
    <row r="585" spans="1:12" outlineLevel="2" x14ac:dyDescent="0.2">
      <c r="A585" s="122" t="s">
        <v>1535</v>
      </c>
      <c r="B585" s="155" t="s">
        <v>1469</v>
      </c>
      <c r="C585" s="155"/>
      <c r="D585" s="176">
        <v>1</v>
      </c>
      <c r="E585" s="69"/>
      <c r="F585" s="174"/>
      <c r="G585" s="175"/>
      <c r="H585" s="107"/>
      <c r="I585" s="202" t="s">
        <v>1553</v>
      </c>
      <c r="J585" s="109" t="str">
        <f t="shared" si="32"/>
        <v>A</v>
      </c>
      <c r="K585" s="109" t="s">
        <v>1782</v>
      </c>
      <c r="L585" s="110">
        <f t="shared" ca="1" si="34"/>
        <v>46077</v>
      </c>
    </row>
    <row r="586" spans="1:12" outlineLevel="2" x14ac:dyDescent="0.2">
      <c r="A586" s="122" t="s">
        <v>1536</v>
      </c>
      <c r="B586" s="155" t="s">
        <v>1111</v>
      </c>
      <c r="C586" s="155"/>
      <c r="D586" s="176">
        <v>1</v>
      </c>
      <c r="E586" s="69"/>
      <c r="F586" s="174"/>
      <c r="G586" s="175"/>
      <c r="H586" s="107"/>
      <c r="I586" s="202" t="s">
        <v>1553</v>
      </c>
      <c r="J586" s="109" t="str">
        <f t="shared" ref="J586" si="36">IF(I586="","", "A")</f>
        <v>A</v>
      </c>
      <c r="K586" s="109" t="s">
        <v>1619</v>
      </c>
      <c r="L586" s="110">
        <f t="shared" ca="1" si="34"/>
        <v>46077</v>
      </c>
    </row>
    <row r="587" spans="1:12" outlineLevel="2" x14ac:dyDescent="0.2">
      <c r="A587" s="122" t="s">
        <v>1537</v>
      </c>
      <c r="B587" s="155" t="s">
        <v>1470</v>
      </c>
      <c r="C587" s="155"/>
      <c r="D587" s="176">
        <v>1</v>
      </c>
      <c r="E587" s="69"/>
      <c r="F587" s="174"/>
      <c r="G587" s="175"/>
      <c r="H587" s="107"/>
      <c r="I587" s="202" t="s">
        <v>1553</v>
      </c>
      <c r="J587" s="109" t="str">
        <f t="shared" si="32"/>
        <v>A</v>
      </c>
      <c r="K587" s="109" t="s">
        <v>1783</v>
      </c>
      <c r="L587" s="110">
        <f t="shared" ca="1" si="34"/>
        <v>46077</v>
      </c>
    </row>
    <row r="588" spans="1:12" outlineLevel="2" x14ac:dyDescent="0.2">
      <c r="A588" s="122" t="s">
        <v>1538</v>
      </c>
      <c r="B588" s="155" t="s">
        <v>1119</v>
      </c>
      <c r="C588" s="155"/>
      <c r="D588" s="176">
        <v>1</v>
      </c>
      <c r="E588" s="69"/>
      <c r="F588" s="174"/>
      <c r="G588" s="175"/>
      <c r="H588" s="107"/>
      <c r="I588" s="202" t="s">
        <v>1553</v>
      </c>
      <c r="J588" s="109" t="str">
        <f t="shared" ref="J588" si="37">IF(I588="","", "A")</f>
        <v>A</v>
      </c>
      <c r="K588" s="109" t="s">
        <v>1620</v>
      </c>
      <c r="L588" s="110">
        <f t="shared" ca="1" si="34"/>
        <v>46077</v>
      </c>
    </row>
    <row r="589" spans="1:12" outlineLevel="2" x14ac:dyDescent="0.2">
      <c r="A589" s="122" t="s">
        <v>1539</v>
      </c>
      <c r="B589" s="155" t="s">
        <v>1471</v>
      </c>
      <c r="C589" s="155"/>
      <c r="D589" s="176">
        <v>1</v>
      </c>
      <c r="E589" s="69"/>
      <c r="F589" s="174"/>
      <c r="G589" s="175"/>
      <c r="H589" s="107"/>
      <c r="I589" s="202" t="s">
        <v>1553</v>
      </c>
      <c r="J589" s="109" t="str">
        <f t="shared" si="32"/>
        <v>A</v>
      </c>
      <c r="K589" s="109" t="s">
        <v>1784</v>
      </c>
      <c r="L589" s="110">
        <f t="shared" ca="1" si="34"/>
        <v>46077</v>
      </c>
    </row>
    <row r="590" spans="1:12" outlineLevel="2" x14ac:dyDescent="0.2">
      <c r="A590" s="122" t="s">
        <v>1540</v>
      </c>
      <c r="B590" s="155" t="s">
        <v>1121</v>
      </c>
      <c r="C590" s="155"/>
      <c r="D590" s="176">
        <v>1</v>
      </c>
      <c r="E590" s="69"/>
      <c r="F590" s="174"/>
      <c r="G590" s="175"/>
      <c r="H590" s="107"/>
      <c r="I590" s="202" t="s">
        <v>1553</v>
      </c>
      <c r="J590" s="109" t="str">
        <f t="shared" ref="J590" si="38">IF(I590="","", "A")</f>
        <v>A</v>
      </c>
      <c r="K590" s="109" t="s">
        <v>1622</v>
      </c>
      <c r="L590" s="110">
        <f t="shared" ca="1" si="34"/>
        <v>46077</v>
      </c>
    </row>
    <row r="591" spans="1:12" outlineLevel="2" x14ac:dyDescent="0.2">
      <c r="A591" s="122" t="s">
        <v>1541</v>
      </c>
      <c r="B591" s="155" t="s">
        <v>1472</v>
      </c>
      <c r="C591" s="155"/>
      <c r="D591" s="176">
        <v>1</v>
      </c>
      <c r="E591" s="69"/>
      <c r="F591" s="174"/>
      <c r="G591" s="175"/>
      <c r="H591" s="107"/>
      <c r="I591" s="202" t="s">
        <v>1553</v>
      </c>
      <c r="J591" s="109" t="str">
        <f t="shared" si="32"/>
        <v>A</v>
      </c>
      <c r="K591" s="109" t="s">
        <v>1785</v>
      </c>
      <c r="L591" s="110">
        <f t="shared" ca="1" si="34"/>
        <v>46077</v>
      </c>
    </row>
    <row r="592" spans="1:12" outlineLevel="2" x14ac:dyDescent="0.2">
      <c r="A592" s="122" t="s">
        <v>1542</v>
      </c>
      <c r="B592" s="155" t="s">
        <v>1473</v>
      </c>
      <c r="C592" s="155"/>
      <c r="D592" s="176">
        <v>1</v>
      </c>
      <c r="E592" s="69"/>
      <c r="F592" s="174"/>
      <c r="G592" s="175"/>
      <c r="H592" s="107"/>
      <c r="I592" s="202" t="s">
        <v>1554</v>
      </c>
      <c r="J592" s="109" t="str">
        <f t="shared" si="32"/>
        <v>A</v>
      </c>
      <c r="K592" s="109" t="s">
        <v>1786</v>
      </c>
      <c r="L592" s="110">
        <f t="shared" ca="1" si="34"/>
        <v>46077</v>
      </c>
    </row>
    <row r="593" spans="1:12" outlineLevel="2" x14ac:dyDescent="0.2">
      <c r="A593" s="122" t="s">
        <v>1543</v>
      </c>
      <c r="B593" s="155" t="s">
        <v>1474</v>
      </c>
      <c r="C593" s="155"/>
      <c r="D593" s="176">
        <v>1</v>
      </c>
      <c r="E593" s="69"/>
      <c r="F593" s="174"/>
      <c r="G593" s="175"/>
      <c r="H593" s="107"/>
      <c r="I593" s="202" t="s">
        <v>1554</v>
      </c>
      <c r="J593" s="109" t="str">
        <f t="shared" si="32"/>
        <v>A</v>
      </c>
      <c r="K593" s="109" t="s">
        <v>1787</v>
      </c>
      <c r="L593" s="110">
        <f t="shared" ca="1" si="34"/>
        <v>46077</v>
      </c>
    </row>
    <row r="594" spans="1:12" outlineLevel="2" x14ac:dyDescent="0.2">
      <c r="A594" s="122" t="s">
        <v>1544</v>
      </c>
      <c r="B594" s="155" t="s">
        <v>1480</v>
      </c>
      <c r="C594" s="155"/>
      <c r="D594" s="176">
        <v>1</v>
      </c>
      <c r="E594" s="69"/>
      <c r="F594" s="174"/>
      <c r="G594" s="175"/>
      <c r="H594" s="107"/>
      <c r="I594" s="202" t="s">
        <v>1553</v>
      </c>
      <c r="J594" s="109" t="str">
        <f t="shared" si="32"/>
        <v>A</v>
      </c>
      <c r="K594" s="109" t="s">
        <v>1788</v>
      </c>
      <c r="L594" s="110">
        <f t="shared" ca="1" si="34"/>
        <v>46077</v>
      </c>
    </row>
    <row r="595" spans="1:12" outlineLevel="2" x14ac:dyDescent="0.2">
      <c r="A595" s="122" t="s">
        <v>1545</v>
      </c>
      <c r="B595" s="155" t="s">
        <v>1475</v>
      </c>
      <c r="C595" s="155"/>
      <c r="D595" s="176">
        <v>1</v>
      </c>
      <c r="E595" s="69"/>
      <c r="F595" s="174"/>
      <c r="G595" s="175"/>
      <c r="H595" s="107"/>
      <c r="I595" s="202" t="s">
        <v>1554</v>
      </c>
      <c r="J595" s="109" t="str">
        <f t="shared" si="32"/>
        <v>A</v>
      </c>
      <c r="K595" s="109" t="s">
        <v>1789</v>
      </c>
      <c r="L595" s="110">
        <f t="shared" ca="1" si="34"/>
        <v>46077</v>
      </c>
    </row>
    <row r="596" spans="1:12" outlineLevel="2" x14ac:dyDescent="0.2">
      <c r="A596" s="122" t="s">
        <v>1546</v>
      </c>
      <c r="B596" s="155" t="s">
        <v>1476</v>
      </c>
      <c r="C596" s="155"/>
      <c r="D596" s="176">
        <v>1</v>
      </c>
      <c r="E596" s="69"/>
      <c r="F596" s="174"/>
      <c r="G596" s="175"/>
      <c r="H596" s="107"/>
      <c r="I596" s="202" t="s">
        <v>1554</v>
      </c>
      <c r="J596" s="109" t="str">
        <f t="shared" si="32"/>
        <v>A</v>
      </c>
      <c r="K596" s="109" t="s">
        <v>1790</v>
      </c>
      <c r="L596" s="110">
        <f t="shared" ca="1" si="34"/>
        <v>46077</v>
      </c>
    </row>
    <row r="597" spans="1:12" outlineLevel="2" x14ac:dyDescent="0.2">
      <c r="A597" s="122" t="s">
        <v>1547</v>
      </c>
      <c r="B597" s="155" t="s">
        <v>1477</v>
      </c>
      <c r="C597" s="155"/>
      <c r="D597" s="176">
        <v>1</v>
      </c>
      <c r="E597" s="69"/>
      <c r="F597" s="174"/>
      <c r="G597" s="175"/>
      <c r="H597" s="107"/>
      <c r="I597" s="202" t="s">
        <v>1553</v>
      </c>
      <c r="J597" s="109" t="str">
        <f t="shared" si="32"/>
        <v>A</v>
      </c>
      <c r="K597" s="109" t="s">
        <v>1791</v>
      </c>
      <c r="L597" s="110">
        <f t="shared" ca="1" si="34"/>
        <v>46077</v>
      </c>
    </row>
    <row r="598" spans="1:12" outlineLevel="2" x14ac:dyDescent="0.2">
      <c r="A598" s="122" t="s">
        <v>1548</v>
      </c>
      <c r="B598" s="155" t="s">
        <v>1102</v>
      </c>
      <c r="C598" s="155"/>
      <c r="D598" s="176">
        <v>2</v>
      </c>
      <c r="E598" s="69"/>
      <c r="F598" s="174"/>
      <c r="G598" s="175"/>
      <c r="H598" s="107"/>
      <c r="I598" s="202" t="s">
        <v>1553</v>
      </c>
      <c r="J598" s="109" t="str">
        <f t="shared" si="32"/>
        <v>A</v>
      </c>
      <c r="K598" s="109" t="s">
        <v>1651</v>
      </c>
      <c r="L598" s="110">
        <f t="shared" ca="1" si="34"/>
        <v>46077</v>
      </c>
    </row>
    <row r="599" spans="1:12" outlineLevel="2" x14ac:dyDescent="0.2">
      <c r="A599" s="122" t="s">
        <v>1549</v>
      </c>
      <c r="B599" s="155" t="s">
        <v>1478</v>
      </c>
      <c r="C599" s="155"/>
      <c r="D599" s="176">
        <v>1</v>
      </c>
      <c r="E599" s="69"/>
      <c r="F599" s="174"/>
      <c r="G599" s="175"/>
      <c r="H599" s="107"/>
      <c r="I599" s="202" t="s">
        <v>1553</v>
      </c>
      <c r="J599" s="109" t="str">
        <f t="shared" si="32"/>
        <v>A</v>
      </c>
      <c r="K599" s="109" t="s">
        <v>1792</v>
      </c>
      <c r="L599" s="110">
        <f t="shared" ca="1" si="34"/>
        <v>46077</v>
      </c>
    </row>
    <row r="600" spans="1:12" outlineLevel="2" x14ac:dyDescent="0.2">
      <c r="A600" s="122" t="s">
        <v>1550</v>
      </c>
      <c r="B600" s="155" t="s">
        <v>1479</v>
      </c>
      <c r="C600" s="155"/>
      <c r="D600" s="176">
        <v>1</v>
      </c>
      <c r="E600" s="69"/>
      <c r="F600" s="174"/>
      <c r="G600" s="175"/>
      <c r="H600" s="107"/>
      <c r="I600" s="202" t="s">
        <v>1554</v>
      </c>
      <c r="J600" s="109" t="str">
        <f t="shared" si="32"/>
        <v>A</v>
      </c>
      <c r="K600" s="109" t="s">
        <v>1793</v>
      </c>
      <c r="L600" s="110">
        <f t="shared" ca="1" si="34"/>
        <v>46077</v>
      </c>
    </row>
    <row r="601" spans="1:12" outlineLevel="2" x14ac:dyDescent="0.2">
      <c r="A601" s="122" t="s">
        <v>1551</v>
      </c>
      <c r="B601" s="155" t="s">
        <v>1481</v>
      </c>
      <c r="C601" s="155"/>
      <c r="D601" s="176">
        <v>1</v>
      </c>
      <c r="E601" s="69"/>
      <c r="F601" s="174"/>
      <c r="G601" s="175"/>
      <c r="H601" s="107"/>
      <c r="I601" s="202" t="s">
        <v>1553</v>
      </c>
      <c r="J601" s="109" t="str">
        <f t="shared" si="32"/>
        <v>A</v>
      </c>
      <c r="K601" s="109" t="s">
        <v>1794</v>
      </c>
      <c r="L601" s="110">
        <f t="shared" ca="1" si="34"/>
        <v>46077</v>
      </c>
    </row>
    <row r="602" spans="1:12" outlineLevel="2" x14ac:dyDescent="0.2">
      <c r="A602" s="195" t="s">
        <v>1125</v>
      </c>
      <c r="B602" s="155" t="s">
        <v>1126</v>
      </c>
      <c r="C602" s="155"/>
      <c r="D602" s="176">
        <v>1</v>
      </c>
      <c r="E602" s="69"/>
      <c r="F602" s="174"/>
      <c r="G602" s="175"/>
      <c r="H602" s="107"/>
      <c r="I602" s="202" t="s">
        <v>1554</v>
      </c>
      <c r="J602" s="109" t="str">
        <f t="shared" ref="J602:J609" si="39">IF(I602="","", "A")</f>
        <v>A</v>
      </c>
      <c r="K602" s="109" t="s">
        <v>1627</v>
      </c>
      <c r="L602" s="110">
        <f t="shared" ca="1" si="34"/>
        <v>46077</v>
      </c>
    </row>
    <row r="603" spans="1:12" outlineLevel="2" x14ac:dyDescent="0.2">
      <c r="A603" s="195" t="s">
        <v>1131</v>
      </c>
      <c r="B603" s="155" t="s">
        <v>1137</v>
      </c>
      <c r="C603" s="155"/>
      <c r="D603" s="176">
        <v>1</v>
      </c>
      <c r="E603" s="69"/>
      <c r="F603" s="174"/>
      <c r="G603" s="175"/>
      <c r="H603" s="107"/>
      <c r="I603" s="202" t="s">
        <v>1552</v>
      </c>
      <c r="J603" s="109" t="str">
        <f t="shared" si="39"/>
        <v>A</v>
      </c>
      <c r="K603" s="109" t="s">
        <v>1628</v>
      </c>
      <c r="L603" s="110">
        <f t="shared" ca="1" si="34"/>
        <v>46077</v>
      </c>
    </row>
    <row r="604" spans="1:12" outlineLevel="2" x14ac:dyDescent="0.2">
      <c r="A604" s="195" t="s">
        <v>1132</v>
      </c>
      <c r="B604" s="155" t="s">
        <v>1144</v>
      </c>
      <c r="C604" s="155"/>
      <c r="D604" s="176">
        <v>1</v>
      </c>
      <c r="E604" s="69"/>
      <c r="F604" s="174"/>
      <c r="G604" s="175"/>
      <c r="H604" s="107"/>
      <c r="I604" s="202" t="s">
        <v>1552</v>
      </c>
      <c r="J604" s="109" t="str">
        <f t="shared" si="39"/>
        <v>A</v>
      </c>
      <c r="K604" s="109" t="s">
        <v>1629</v>
      </c>
      <c r="L604" s="110">
        <f t="shared" ca="1" si="34"/>
        <v>46077</v>
      </c>
    </row>
    <row r="605" spans="1:12" outlineLevel="2" x14ac:dyDescent="0.2">
      <c r="A605" s="195" t="s">
        <v>1133</v>
      </c>
      <c r="B605" s="155" t="s">
        <v>1127</v>
      </c>
      <c r="C605" s="155"/>
      <c r="D605" s="176">
        <v>1</v>
      </c>
      <c r="E605" s="69"/>
      <c r="F605" s="174"/>
      <c r="G605" s="175"/>
      <c r="H605" s="107"/>
      <c r="I605" s="202" t="s">
        <v>1552</v>
      </c>
      <c r="J605" s="109" t="str">
        <f t="shared" si="39"/>
        <v>A</v>
      </c>
      <c r="K605" s="109" t="s">
        <v>1630</v>
      </c>
      <c r="L605" s="110">
        <f t="shared" ca="1" si="34"/>
        <v>46077</v>
      </c>
    </row>
    <row r="606" spans="1:12" outlineLevel="2" x14ac:dyDescent="0.2">
      <c r="A606" s="195" t="s">
        <v>1134</v>
      </c>
      <c r="B606" s="155" t="s">
        <v>1128</v>
      </c>
      <c r="C606" s="155"/>
      <c r="D606" s="176">
        <v>1</v>
      </c>
      <c r="E606" s="69"/>
      <c r="F606" s="174"/>
      <c r="G606" s="175"/>
      <c r="H606" s="107"/>
      <c r="I606" s="202" t="s">
        <v>1556</v>
      </c>
      <c r="J606" s="109" t="str">
        <f t="shared" si="39"/>
        <v>A</v>
      </c>
      <c r="K606" s="109" t="s">
        <v>1631</v>
      </c>
      <c r="L606" s="110">
        <f t="shared" ca="1" si="34"/>
        <v>46077</v>
      </c>
    </row>
    <row r="607" spans="1:12" outlineLevel="2" x14ac:dyDescent="0.2">
      <c r="A607" s="195" t="s">
        <v>1135</v>
      </c>
      <c r="B607" s="155" t="s">
        <v>1129</v>
      </c>
      <c r="C607" s="155"/>
      <c r="D607" s="176">
        <v>1</v>
      </c>
      <c r="E607" s="69"/>
      <c r="F607" s="174"/>
      <c r="G607" s="175"/>
      <c r="H607" s="107"/>
      <c r="I607" s="202" t="s">
        <v>1552</v>
      </c>
      <c r="J607" s="109" t="str">
        <f t="shared" si="39"/>
        <v>A</v>
      </c>
      <c r="K607" s="109" t="s">
        <v>1632</v>
      </c>
      <c r="L607" s="110">
        <f t="shared" ca="1" si="34"/>
        <v>46077</v>
      </c>
    </row>
    <row r="608" spans="1:12" outlineLevel="2" x14ac:dyDescent="0.2">
      <c r="A608" s="122" t="s">
        <v>1395</v>
      </c>
      <c r="B608" s="155" t="s">
        <v>1130</v>
      </c>
      <c r="C608" s="155"/>
      <c r="D608" s="176">
        <v>1</v>
      </c>
      <c r="E608" s="69"/>
      <c r="F608" s="174"/>
      <c r="G608" s="175"/>
      <c r="H608" s="107"/>
      <c r="I608" s="202" t="s">
        <v>1552</v>
      </c>
      <c r="J608" s="109" t="str">
        <f t="shared" si="39"/>
        <v>A</v>
      </c>
      <c r="K608" s="109" t="s">
        <v>1633</v>
      </c>
      <c r="L608" s="110">
        <f t="shared" ca="1" si="34"/>
        <v>46077</v>
      </c>
    </row>
    <row r="609" spans="1:12" outlineLevel="2" x14ac:dyDescent="0.2">
      <c r="A609" s="122" t="s">
        <v>1396</v>
      </c>
      <c r="B609" s="155" t="s">
        <v>1482</v>
      </c>
      <c r="C609" s="155"/>
      <c r="D609" s="176">
        <v>1</v>
      </c>
      <c r="E609" s="69"/>
      <c r="F609" s="174"/>
      <c r="G609" s="175"/>
      <c r="H609" s="107"/>
      <c r="I609" s="202" t="s">
        <v>1552</v>
      </c>
      <c r="J609" s="109" t="str">
        <f t="shared" si="39"/>
        <v>A</v>
      </c>
      <c r="K609" s="109" t="s">
        <v>1795</v>
      </c>
      <c r="L609" s="110">
        <f t="shared" ca="1" si="34"/>
        <v>46077</v>
      </c>
    </row>
    <row r="610" spans="1:12" outlineLevel="2" x14ac:dyDescent="0.2">
      <c r="A610" s="122" t="s">
        <v>1483</v>
      </c>
      <c r="B610" s="155" t="s">
        <v>888</v>
      </c>
      <c r="C610" s="155" t="s">
        <v>895</v>
      </c>
      <c r="D610" s="176">
        <v>1</v>
      </c>
      <c r="E610" s="69"/>
      <c r="F610" s="174"/>
      <c r="G610" s="175"/>
      <c r="H610" s="107"/>
      <c r="I610" s="202"/>
      <c r="J610" s="109"/>
      <c r="K610" s="109" t="s">
        <v>1768</v>
      </c>
      <c r="L610" s="110" t="str">
        <f t="shared" ca="1" si="34"/>
        <v/>
      </c>
    </row>
    <row r="611" spans="1:12" outlineLevel="2" x14ac:dyDescent="0.2">
      <c r="A611" s="121" t="s">
        <v>1484</v>
      </c>
      <c r="B611" s="76" t="s">
        <v>877</v>
      </c>
      <c r="C611" s="76" t="s">
        <v>883</v>
      </c>
      <c r="D611" s="135">
        <v>1</v>
      </c>
      <c r="E611" s="69"/>
      <c r="F611" s="70"/>
      <c r="G611" s="71"/>
      <c r="H611" s="107"/>
      <c r="I611" s="202"/>
      <c r="J611" s="109"/>
      <c r="K611" s="109" t="s">
        <v>1768</v>
      </c>
      <c r="L611" s="110" t="str">
        <f t="shared" ca="1" si="34"/>
        <v/>
      </c>
    </row>
    <row r="612" spans="1:12" outlineLevel="2" x14ac:dyDescent="0.2">
      <c r="A612" s="121" t="s">
        <v>1485</v>
      </c>
      <c r="B612" s="76" t="s">
        <v>823</v>
      </c>
      <c r="C612" s="76" t="s">
        <v>851</v>
      </c>
      <c r="D612" s="135">
        <v>1</v>
      </c>
      <c r="E612" s="69"/>
      <c r="F612" s="70"/>
      <c r="G612" s="71"/>
      <c r="H612" s="107"/>
      <c r="I612" s="202"/>
      <c r="J612" s="109"/>
      <c r="K612" s="109" t="s">
        <v>1768</v>
      </c>
      <c r="L612" s="110" t="str">
        <f t="shared" ca="1" si="34"/>
        <v/>
      </c>
    </row>
    <row r="613" spans="1:12" outlineLevel="2" x14ac:dyDescent="0.2">
      <c r="A613" s="121" t="s">
        <v>1486</v>
      </c>
      <c r="B613" s="76" t="s">
        <v>824</v>
      </c>
      <c r="C613" s="76" t="s">
        <v>852</v>
      </c>
      <c r="D613" s="135">
        <v>1</v>
      </c>
      <c r="E613" s="69"/>
      <c r="F613" s="70"/>
      <c r="G613" s="71"/>
      <c r="H613" s="107"/>
      <c r="I613" s="202"/>
      <c r="J613" s="109"/>
      <c r="K613" s="109" t="s">
        <v>1768</v>
      </c>
      <c r="L613" s="110" t="str">
        <f t="shared" ca="1" si="34"/>
        <v/>
      </c>
    </row>
    <row r="614" spans="1:12" outlineLevel="2" x14ac:dyDescent="0.2">
      <c r="A614" s="121" t="s">
        <v>1487</v>
      </c>
      <c r="B614" s="76" t="s">
        <v>889</v>
      </c>
      <c r="C614" s="76" t="s">
        <v>896</v>
      </c>
      <c r="D614" s="135">
        <v>1</v>
      </c>
      <c r="E614" s="69"/>
      <c r="F614" s="70"/>
      <c r="G614" s="71"/>
      <c r="H614" s="107"/>
      <c r="I614" s="202"/>
      <c r="J614" s="109"/>
      <c r="K614" s="109"/>
      <c r="L614" s="110" t="str">
        <f t="shared" ca="1" si="34"/>
        <v/>
      </c>
    </row>
    <row r="615" spans="1:12" outlineLevel="2" x14ac:dyDescent="0.2">
      <c r="A615" s="121" t="s">
        <v>1488</v>
      </c>
      <c r="B615" s="76" t="s">
        <v>890</v>
      </c>
      <c r="C615" s="76" t="s">
        <v>897</v>
      </c>
      <c r="D615" s="135">
        <v>1</v>
      </c>
      <c r="E615" s="69"/>
      <c r="F615" s="70"/>
      <c r="G615" s="71"/>
      <c r="H615" s="107"/>
      <c r="I615" s="202"/>
      <c r="J615" s="109"/>
      <c r="K615" s="109"/>
      <c r="L615" s="110" t="str">
        <f t="shared" ca="1" si="34"/>
        <v/>
      </c>
    </row>
    <row r="616" spans="1:12" outlineLevel="2" x14ac:dyDescent="0.2">
      <c r="A616" s="121" t="s">
        <v>1489</v>
      </c>
      <c r="B616" s="76" t="s">
        <v>827</v>
      </c>
      <c r="C616" s="76" t="s">
        <v>855</v>
      </c>
      <c r="D616" s="135">
        <v>2</v>
      </c>
      <c r="E616" s="69"/>
      <c r="F616" s="70"/>
      <c r="G616" s="71"/>
      <c r="H616" s="107"/>
      <c r="I616" s="202"/>
      <c r="J616" s="109"/>
      <c r="K616" s="109"/>
      <c r="L616" s="110" t="str">
        <f t="shared" ca="1" si="34"/>
        <v/>
      </c>
    </row>
    <row r="617" spans="1:12" outlineLevel="2" x14ac:dyDescent="0.2">
      <c r="A617" s="121" t="s">
        <v>1490</v>
      </c>
      <c r="B617" s="76" t="s">
        <v>828</v>
      </c>
      <c r="C617" s="76" t="s">
        <v>856</v>
      </c>
      <c r="D617" s="135">
        <v>1</v>
      </c>
      <c r="E617" s="69"/>
      <c r="F617" s="70"/>
      <c r="G617" s="71"/>
      <c r="H617" s="107"/>
      <c r="I617" s="202"/>
      <c r="J617" s="109"/>
      <c r="K617" s="109"/>
      <c r="L617" s="110" t="str">
        <f t="shared" ca="1" si="34"/>
        <v/>
      </c>
    </row>
    <row r="618" spans="1:12" outlineLevel="2" x14ac:dyDescent="0.2">
      <c r="A618" s="121" t="s">
        <v>1491</v>
      </c>
      <c r="B618" s="76" t="s">
        <v>834</v>
      </c>
      <c r="C618" s="76" t="s">
        <v>862</v>
      </c>
      <c r="D618" s="135">
        <v>2</v>
      </c>
      <c r="E618" s="69"/>
      <c r="F618" s="70"/>
      <c r="G618" s="71"/>
      <c r="H618" s="107"/>
      <c r="I618" s="202"/>
      <c r="J618" s="109"/>
      <c r="K618" s="109"/>
      <c r="L618" s="110" t="str">
        <f t="shared" ca="1" si="34"/>
        <v/>
      </c>
    </row>
    <row r="619" spans="1:12" outlineLevel="2" x14ac:dyDescent="0.2">
      <c r="A619" s="121" t="s">
        <v>1492</v>
      </c>
      <c r="B619" s="76" t="s">
        <v>880</v>
      </c>
      <c r="C619" s="76" t="s">
        <v>886</v>
      </c>
      <c r="D619" s="135">
        <v>1</v>
      </c>
      <c r="E619" s="69"/>
      <c r="F619" s="70"/>
      <c r="G619" s="71"/>
      <c r="H619" s="107"/>
      <c r="I619" s="202"/>
      <c r="J619" s="109"/>
      <c r="K619" s="109"/>
      <c r="L619" s="110" t="str">
        <f t="shared" ref="L619:L628" ca="1" si="40">IF(I619="","",TODAY())</f>
        <v/>
      </c>
    </row>
    <row r="620" spans="1:12" outlineLevel="2" x14ac:dyDescent="0.2">
      <c r="A620" s="121" t="s">
        <v>1493</v>
      </c>
      <c r="B620" s="76" t="s">
        <v>836</v>
      </c>
      <c r="C620" s="76" t="s">
        <v>864</v>
      </c>
      <c r="D620" s="135">
        <v>1</v>
      </c>
      <c r="E620" s="69"/>
      <c r="F620" s="70"/>
      <c r="G620" s="71"/>
      <c r="H620" s="107"/>
      <c r="I620" s="202"/>
      <c r="J620" s="109"/>
      <c r="K620" s="109"/>
      <c r="L620" s="110" t="str">
        <f t="shared" ca="1" si="40"/>
        <v/>
      </c>
    </row>
    <row r="621" spans="1:12" outlineLevel="2" x14ac:dyDescent="0.2">
      <c r="A621" s="121" t="s">
        <v>1494</v>
      </c>
      <c r="B621" s="76" t="s">
        <v>837</v>
      </c>
      <c r="C621" s="76" t="s">
        <v>865</v>
      </c>
      <c r="D621" s="135">
        <v>1</v>
      </c>
      <c r="E621" s="69"/>
      <c r="F621" s="70"/>
      <c r="G621" s="71"/>
      <c r="H621" s="107"/>
      <c r="I621" s="202"/>
      <c r="J621" s="109"/>
      <c r="K621" s="109"/>
      <c r="L621" s="110" t="str">
        <f t="shared" ca="1" si="40"/>
        <v/>
      </c>
    </row>
    <row r="622" spans="1:12" outlineLevel="2" x14ac:dyDescent="0.2">
      <c r="A622" s="121" t="s">
        <v>1495</v>
      </c>
      <c r="B622" s="76" t="s">
        <v>838</v>
      </c>
      <c r="C622" s="76" t="s">
        <v>866</v>
      </c>
      <c r="D622" s="135">
        <v>2</v>
      </c>
      <c r="E622" s="69"/>
      <c r="F622" s="70"/>
      <c r="G622" s="71"/>
      <c r="H622" s="107"/>
      <c r="I622" s="202"/>
      <c r="J622" s="109"/>
      <c r="K622" s="109"/>
      <c r="L622" s="110" t="str">
        <f t="shared" ca="1" si="40"/>
        <v/>
      </c>
    </row>
    <row r="623" spans="1:12" outlineLevel="2" x14ac:dyDescent="0.2">
      <c r="A623" s="121" t="s">
        <v>1496</v>
      </c>
      <c r="B623" s="76" t="s">
        <v>891</v>
      </c>
      <c r="C623" s="76" t="s">
        <v>898</v>
      </c>
      <c r="D623" s="135">
        <v>4</v>
      </c>
      <c r="E623" s="69"/>
      <c r="F623" s="70"/>
      <c r="G623" s="71"/>
      <c r="H623" s="107"/>
      <c r="I623" s="202"/>
      <c r="J623" s="109"/>
      <c r="K623" s="109"/>
      <c r="L623" s="110" t="str">
        <f t="shared" ca="1" si="40"/>
        <v/>
      </c>
    </row>
    <row r="624" spans="1:12" outlineLevel="2" x14ac:dyDescent="0.2">
      <c r="A624" s="121" t="s">
        <v>1497</v>
      </c>
      <c r="B624" s="76" t="s">
        <v>840</v>
      </c>
      <c r="C624" s="76" t="s">
        <v>868</v>
      </c>
      <c r="D624" s="135">
        <v>3</v>
      </c>
      <c r="E624" s="69"/>
      <c r="F624" s="70"/>
      <c r="G624" s="71"/>
      <c r="H624" s="107"/>
      <c r="I624" s="202"/>
      <c r="J624" s="109"/>
      <c r="K624" s="109"/>
      <c r="L624" s="110" t="str">
        <f t="shared" ca="1" si="40"/>
        <v/>
      </c>
    </row>
    <row r="625" spans="1:12" outlineLevel="2" x14ac:dyDescent="0.2">
      <c r="A625" s="121" t="s">
        <v>1498</v>
      </c>
      <c r="B625" s="76" t="s">
        <v>841</v>
      </c>
      <c r="C625" s="76" t="s">
        <v>869</v>
      </c>
      <c r="D625" s="135">
        <v>6</v>
      </c>
      <c r="E625" s="69"/>
      <c r="F625" s="70"/>
      <c r="G625" s="71"/>
      <c r="H625" s="107"/>
      <c r="I625" s="202"/>
      <c r="J625" s="109"/>
      <c r="K625" s="109"/>
      <c r="L625" s="110" t="str">
        <f t="shared" ca="1" si="40"/>
        <v/>
      </c>
    </row>
    <row r="626" spans="1:12" outlineLevel="2" x14ac:dyDescent="0.2">
      <c r="A626" s="121" t="s">
        <v>1499</v>
      </c>
      <c r="B626" s="76" t="s">
        <v>892</v>
      </c>
      <c r="C626" s="76" t="s">
        <v>899</v>
      </c>
      <c r="D626" s="135">
        <v>15</v>
      </c>
      <c r="E626" s="69"/>
      <c r="F626" s="70"/>
      <c r="G626" s="71"/>
      <c r="H626" s="107"/>
      <c r="I626" s="202"/>
      <c r="J626" s="109"/>
      <c r="K626" s="109"/>
      <c r="L626" s="110" t="str">
        <f t="shared" ca="1" si="40"/>
        <v/>
      </c>
    </row>
    <row r="627" spans="1:12" outlineLevel="2" x14ac:dyDescent="0.2">
      <c r="A627" s="121" t="s">
        <v>1500</v>
      </c>
      <c r="B627" s="76" t="s">
        <v>893</v>
      </c>
      <c r="C627" s="76" t="s">
        <v>900</v>
      </c>
      <c r="D627" s="135">
        <v>18</v>
      </c>
      <c r="E627" s="69"/>
      <c r="F627" s="70"/>
      <c r="G627" s="71"/>
      <c r="H627" s="107"/>
      <c r="I627" s="202"/>
      <c r="J627" s="109"/>
      <c r="K627" s="109"/>
      <c r="L627" s="110" t="str">
        <f t="shared" ca="1" si="40"/>
        <v/>
      </c>
    </row>
    <row r="628" spans="1:12" outlineLevel="2" x14ac:dyDescent="0.2">
      <c r="A628" s="121" t="s">
        <v>1501</v>
      </c>
      <c r="B628" s="76" t="s">
        <v>844</v>
      </c>
      <c r="C628" s="76" t="s">
        <v>872</v>
      </c>
      <c r="D628" s="135">
        <v>1</v>
      </c>
      <c r="E628" s="69"/>
      <c r="F628" s="70"/>
      <c r="G628" s="71"/>
      <c r="H628" s="107"/>
      <c r="I628" s="202"/>
      <c r="J628" s="109"/>
      <c r="K628" s="109"/>
      <c r="L628" s="110" t="str">
        <f t="shared" ca="1" si="40"/>
        <v/>
      </c>
    </row>
    <row r="629" spans="1:12" outlineLevel="2" x14ac:dyDescent="0.2">
      <c r="A629" s="121" t="s">
        <v>1502</v>
      </c>
      <c r="B629" s="76" t="s">
        <v>845</v>
      </c>
      <c r="C629" s="76" t="s">
        <v>873</v>
      </c>
      <c r="D629" s="135">
        <v>2</v>
      </c>
      <c r="E629" s="69"/>
      <c r="F629" s="70"/>
      <c r="G629" s="71"/>
      <c r="H629" s="107"/>
      <c r="I629" s="202"/>
      <c r="J629" s="109" t="str">
        <f t="shared" si="32"/>
        <v/>
      </c>
      <c r="K629" s="109" t="s">
        <v>1768</v>
      </c>
      <c r="L629" s="110" t="str">
        <f t="shared" ca="1" si="33"/>
        <v/>
      </c>
    </row>
    <row r="630" spans="1:12" ht="13.5" outlineLevel="2" thickBot="1" x14ac:dyDescent="0.25">
      <c r="A630" s="121" t="s">
        <v>1503</v>
      </c>
      <c r="B630" s="124" t="s">
        <v>846</v>
      </c>
      <c r="C630" s="124" t="s">
        <v>874</v>
      </c>
      <c r="D630" s="136">
        <v>1</v>
      </c>
      <c r="E630" s="81"/>
      <c r="F630" s="74"/>
      <c r="G630" s="75"/>
      <c r="H630" s="108"/>
      <c r="I630" s="205"/>
      <c r="J630" s="129" t="str">
        <f t="shared" ref="J630:J632" si="41">IF(I630="","", "A")</f>
        <v/>
      </c>
      <c r="K630" s="129" t="s">
        <v>1768</v>
      </c>
      <c r="L630" s="130" t="str">
        <f t="shared" ref="L630:L632" ca="1" si="42">IF(I630="","",TODAY())</f>
        <v/>
      </c>
    </row>
    <row r="631" spans="1:12" ht="13.5" outlineLevel="2" thickBot="1" x14ac:dyDescent="0.25">
      <c r="A631" s="140"/>
      <c r="B631" s="126"/>
      <c r="C631" s="152"/>
      <c r="D631" s="149"/>
      <c r="E631" s="77"/>
      <c r="F631" s="78"/>
      <c r="G631" s="79"/>
      <c r="H631" s="111"/>
      <c r="I631" s="223"/>
      <c r="J631" s="224" t="str">
        <f t="shared" si="41"/>
        <v/>
      </c>
      <c r="K631" s="224" t="s">
        <v>1768</v>
      </c>
      <c r="L631" s="225" t="str">
        <f t="shared" ca="1" si="42"/>
        <v/>
      </c>
    </row>
    <row r="632" spans="1:12" outlineLevel="2" x14ac:dyDescent="0.2">
      <c r="A632" s="352">
        <v>17</v>
      </c>
      <c r="B632" s="354" t="s">
        <v>319</v>
      </c>
      <c r="C632" s="356" t="s">
        <v>320</v>
      </c>
      <c r="D632" s="358">
        <f>F633</f>
        <v>1</v>
      </c>
      <c r="E632" s="360">
        <v>394576.53</v>
      </c>
      <c r="F632" s="67">
        <v>394576.53</v>
      </c>
      <c r="G632" s="68"/>
      <c r="H632" s="379" t="s">
        <v>463</v>
      </c>
      <c r="I632" s="204"/>
      <c r="J632" s="131" t="str">
        <f t="shared" si="41"/>
        <v/>
      </c>
      <c r="K632" s="131" t="s">
        <v>1768</v>
      </c>
      <c r="L632" s="132" t="str">
        <f t="shared" ca="1" si="42"/>
        <v/>
      </c>
    </row>
    <row r="633" spans="1:12" outlineLevel="2" x14ac:dyDescent="0.2">
      <c r="A633" s="353"/>
      <c r="B633" s="355"/>
      <c r="C633" s="357"/>
      <c r="D633" s="359"/>
      <c r="E633" s="361">
        <v>1</v>
      </c>
      <c r="F633" s="70">
        <v>1</v>
      </c>
      <c r="G633" s="71"/>
      <c r="H633" s="366"/>
      <c r="I633" s="202"/>
      <c r="J633" s="109" t="str">
        <f t="shared" si="32"/>
        <v/>
      </c>
      <c r="K633" s="109" t="s">
        <v>1768</v>
      </c>
      <c r="L633" s="110" t="str">
        <f t="shared" ca="1" si="33"/>
        <v/>
      </c>
    </row>
    <row r="634" spans="1:12" outlineLevel="2" x14ac:dyDescent="0.2">
      <c r="A634" s="121" t="s">
        <v>1744</v>
      </c>
      <c r="B634" s="76" t="s">
        <v>901</v>
      </c>
      <c r="C634" s="76" t="s">
        <v>915</v>
      </c>
      <c r="D634" s="135">
        <v>1</v>
      </c>
      <c r="E634" s="69"/>
      <c r="F634" s="70"/>
      <c r="G634" s="71"/>
      <c r="H634" s="107"/>
      <c r="I634" s="202"/>
      <c r="J634" s="109" t="str">
        <f t="shared" si="32"/>
        <v/>
      </c>
      <c r="K634" s="109" t="s">
        <v>1768</v>
      </c>
      <c r="L634" s="110" t="str">
        <f t="shared" ca="1" si="33"/>
        <v/>
      </c>
    </row>
    <row r="635" spans="1:12" outlineLevel="2" x14ac:dyDescent="0.2">
      <c r="A635" s="121" t="s">
        <v>1746</v>
      </c>
      <c r="B635" s="76" t="s">
        <v>902</v>
      </c>
      <c r="C635" s="76" t="s">
        <v>916</v>
      </c>
      <c r="D635" s="135">
        <v>1</v>
      </c>
      <c r="E635" s="69"/>
      <c r="F635" s="70"/>
      <c r="G635" s="71"/>
      <c r="H635" s="107"/>
      <c r="I635" s="202"/>
      <c r="J635" s="109" t="str">
        <f t="shared" si="32"/>
        <v/>
      </c>
      <c r="K635" s="109" t="s">
        <v>1768</v>
      </c>
      <c r="L635" s="110" t="str">
        <f t="shared" ca="1" si="33"/>
        <v/>
      </c>
    </row>
    <row r="636" spans="1:12" outlineLevel="2" x14ac:dyDescent="0.2">
      <c r="A636" s="121" t="s">
        <v>1747</v>
      </c>
      <c r="B636" s="76" t="s">
        <v>903</v>
      </c>
      <c r="C636" s="76" t="s">
        <v>917</v>
      </c>
      <c r="D636" s="135">
        <v>1</v>
      </c>
      <c r="E636" s="69"/>
      <c r="F636" s="70"/>
      <c r="G636" s="71"/>
      <c r="H636" s="107"/>
      <c r="I636" s="202"/>
      <c r="J636" s="109" t="str">
        <f t="shared" si="32"/>
        <v/>
      </c>
      <c r="K636" s="109" t="s">
        <v>1768</v>
      </c>
      <c r="L636" s="110" t="str">
        <f t="shared" ca="1" si="33"/>
        <v/>
      </c>
    </row>
    <row r="637" spans="1:12" outlineLevel="2" x14ac:dyDescent="0.2">
      <c r="A637" s="121" t="s">
        <v>1748</v>
      </c>
      <c r="B637" s="76" t="s">
        <v>678</v>
      </c>
      <c r="C637" s="76" t="s">
        <v>733</v>
      </c>
      <c r="D637" s="135">
        <v>1</v>
      </c>
      <c r="E637" s="69"/>
      <c r="F637" s="70"/>
      <c r="G637" s="71"/>
      <c r="H637" s="107"/>
      <c r="I637" s="202"/>
      <c r="J637" s="109" t="str">
        <f t="shared" si="32"/>
        <v/>
      </c>
      <c r="K637" s="109" t="s">
        <v>1768</v>
      </c>
      <c r="L637" s="110" t="str">
        <f t="shared" ca="1" si="33"/>
        <v/>
      </c>
    </row>
    <row r="638" spans="1:12" ht="25.5" outlineLevel="2" x14ac:dyDescent="0.2">
      <c r="A638" s="121" t="s">
        <v>1749</v>
      </c>
      <c r="B638" s="89" t="s">
        <v>951</v>
      </c>
      <c r="C638" s="76" t="s">
        <v>918</v>
      </c>
      <c r="D638" s="135">
        <v>2</v>
      </c>
      <c r="E638" s="69"/>
      <c r="F638" s="70"/>
      <c r="G638" s="71"/>
      <c r="H638" s="107"/>
      <c r="I638" s="202"/>
      <c r="J638" s="109" t="str">
        <f t="shared" si="32"/>
        <v/>
      </c>
      <c r="K638" s="109" t="s">
        <v>1768</v>
      </c>
      <c r="L638" s="110" t="str">
        <f t="shared" ca="1" si="33"/>
        <v/>
      </c>
    </row>
    <row r="639" spans="1:12" outlineLevel="2" x14ac:dyDescent="0.2">
      <c r="A639" s="121" t="s">
        <v>1750</v>
      </c>
      <c r="B639" s="76" t="s">
        <v>904</v>
      </c>
      <c r="C639" s="76" t="s">
        <v>919</v>
      </c>
      <c r="D639" s="135">
        <v>7</v>
      </c>
      <c r="E639" s="69"/>
      <c r="F639" s="70"/>
      <c r="G639" s="71"/>
      <c r="H639" s="107"/>
      <c r="I639" s="202"/>
      <c r="J639" s="109" t="str">
        <f t="shared" si="32"/>
        <v/>
      </c>
      <c r="K639" s="109" t="s">
        <v>1768</v>
      </c>
      <c r="L639" s="110" t="str">
        <f t="shared" ca="1" si="33"/>
        <v/>
      </c>
    </row>
    <row r="640" spans="1:12" outlineLevel="2" x14ac:dyDescent="0.2">
      <c r="A640" s="121" t="s">
        <v>1751</v>
      </c>
      <c r="B640" s="76" t="s">
        <v>905</v>
      </c>
      <c r="C640" s="76" t="s">
        <v>920</v>
      </c>
      <c r="D640" s="135">
        <v>5</v>
      </c>
      <c r="E640" s="69"/>
      <c r="F640" s="70"/>
      <c r="G640" s="71"/>
      <c r="H640" s="107"/>
      <c r="I640" s="202"/>
      <c r="J640" s="109" t="str">
        <f t="shared" si="32"/>
        <v/>
      </c>
      <c r="K640" s="109" t="s">
        <v>1768</v>
      </c>
      <c r="L640" s="110" t="str">
        <f t="shared" ca="1" si="33"/>
        <v/>
      </c>
    </row>
    <row r="641" spans="1:12" outlineLevel="2" x14ac:dyDescent="0.2">
      <c r="A641" s="121" t="s">
        <v>1752</v>
      </c>
      <c r="B641" s="76" t="s">
        <v>906</v>
      </c>
      <c r="C641" s="76" t="s">
        <v>921</v>
      </c>
      <c r="D641" s="135">
        <v>3</v>
      </c>
      <c r="E641" s="69"/>
      <c r="F641" s="70"/>
      <c r="G641" s="71"/>
      <c r="H641" s="107"/>
      <c r="I641" s="202"/>
      <c r="J641" s="109" t="str">
        <f t="shared" ref="J641:J666" si="43">IF(I641="","", "A")</f>
        <v/>
      </c>
      <c r="K641" s="109" t="s">
        <v>1768</v>
      </c>
      <c r="L641" s="110" t="str">
        <f t="shared" ref="L641:L666" ca="1" si="44">IF(I641="","",TODAY())</f>
        <v/>
      </c>
    </row>
    <row r="642" spans="1:12" outlineLevel="2" x14ac:dyDescent="0.2">
      <c r="A642" s="121" t="s">
        <v>1753</v>
      </c>
      <c r="B642" s="76" t="s">
        <v>907</v>
      </c>
      <c r="C642" s="76" t="s">
        <v>922</v>
      </c>
      <c r="D642" s="135">
        <v>3</v>
      </c>
      <c r="E642" s="69"/>
      <c r="F642" s="70"/>
      <c r="G642" s="71"/>
      <c r="H642" s="107"/>
      <c r="I642" s="202"/>
      <c r="J642" s="109" t="str">
        <f t="shared" si="43"/>
        <v/>
      </c>
      <c r="K642" s="109" t="s">
        <v>1768</v>
      </c>
      <c r="L642" s="110" t="str">
        <f t="shared" ca="1" si="44"/>
        <v/>
      </c>
    </row>
    <row r="643" spans="1:12" outlineLevel="2" x14ac:dyDescent="0.2">
      <c r="A643" s="121" t="s">
        <v>1754</v>
      </c>
      <c r="B643" s="76" t="s">
        <v>908</v>
      </c>
      <c r="C643" s="76" t="s">
        <v>923</v>
      </c>
      <c r="D643" s="135">
        <v>18</v>
      </c>
      <c r="E643" s="69"/>
      <c r="F643" s="70"/>
      <c r="G643" s="71"/>
      <c r="H643" s="107"/>
      <c r="I643" s="202"/>
      <c r="J643" s="109" t="str">
        <f t="shared" si="43"/>
        <v/>
      </c>
      <c r="K643" s="109" t="s">
        <v>1768</v>
      </c>
      <c r="L643" s="110" t="str">
        <f t="shared" ca="1" si="44"/>
        <v/>
      </c>
    </row>
    <row r="644" spans="1:12" outlineLevel="2" x14ac:dyDescent="0.2">
      <c r="A644" s="121" t="s">
        <v>1755</v>
      </c>
      <c r="B644" s="76" t="s">
        <v>909</v>
      </c>
      <c r="C644" s="76" t="s">
        <v>924</v>
      </c>
      <c r="D644" s="135">
        <v>12</v>
      </c>
      <c r="E644" s="69"/>
      <c r="F644" s="70"/>
      <c r="G644" s="71"/>
      <c r="H644" s="107"/>
      <c r="I644" s="202"/>
      <c r="J644" s="109" t="str">
        <f t="shared" si="43"/>
        <v/>
      </c>
      <c r="K644" s="109" t="s">
        <v>1768</v>
      </c>
      <c r="L644" s="110" t="str">
        <f t="shared" ca="1" si="44"/>
        <v/>
      </c>
    </row>
    <row r="645" spans="1:12" outlineLevel="2" x14ac:dyDescent="0.2">
      <c r="A645" s="121" t="s">
        <v>1745</v>
      </c>
      <c r="B645" s="76" t="s">
        <v>910</v>
      </c>
      <c r="C645" s="76" t="s">
        <v>925</v>
      </c>
      <c r="D645" s="135">
        <v>1</v>
      </c>
      <c r="E645" s="69"/>
      <c r="F645" s="70"/>
      <c r="G645" s="71"/>
      <c r="H645" s="107"/>
      <c r="I645" s="202"/>
      <c r="J645" s="109" t="str">
        <f t="shared" si="43"/>
        <v/>
      </c>
      <c r="K645" s="109" t="s">
        <v>1768</v>
      </c>
      <c r="L645" s="110" t="str">
        <f t="shared" ca="1" si="44"/>
        <v/>
      </c>
    </row>
    <row r="646" spans="1:12" outlineLevel="2" x14ac:dyDescent="0.2">
      <c r="A646" s="121" t="s">
        <v>1756</v>
      </c>
      <c r="B646" s="76" t="s">
        <v>952</v>
      </c>
      <c r="C646" s="76" t="s">
        <v>926</v>
      </c>
      <c r="D646" s="135">
        <v>4</v>
      </c>
      <c r="E646" s="69"/>
      <c r="F646" s="70"/>
      <c r="G646" s="71"/>
      <c r="H646" s="107"/>
      <c r="I646" s="202"/>
      <c r="J646" s="109" t="str">
        <f t="shared" si="43"/>
        <v/>
      </c>
      <c r="K646" s="109" t="s">
        <v>1768</v>
      </c>
      <c r="L646" s="110" t="str">
        <f t="shared" ca="1" si="44"/>
        <v/>
      </c>
    </row>
    <row r="647" spans="1:12" outlineLevel="2" x14ac:dyDescent="0.2">
      <c r="A647" s="121" t="s">
        <v>1757</v>
      </c>
      <c r="B647" s="76" t="s">
        <v>911</v>
      </c>
      <c r="C647" s="76" t="s">
        <v>927</v>
      </c>
      <c r="D647" s="135">
        <v>1</v>
      </c>
      <c r="E647" s="69"/>
      <c r="F647" s="70"/>
      <c r="G647" s="71"/>
      <c r="H647" s="107"/>
      <c r="I647" s="202"/>
      <c r="J647" s="109" t="str">
        <f t="shared" si="43"/>
        <v/>
      </c>
      <c r="K647" s="109" t="s">
        <v>1768</v>
      </c>
      <c r="L647" s="110" t="str">
        <f t="shared" ca="1" si="44"/>
        <v/>
      </c>
    </row>
    <row r="648" spans="1:12" outlineLevel="2" x14ac:dyDescent="0.2">
      <c r="A648" s="121" t="s">
        <v>1758</v>
      </c>
      <c r="B648" s="76" t="s">
        <v>709</v>
      </c>
      <c r="C648" s="76" t="s">
        <v>771</v>
      </c>
      <c r="D648" s="135">
        <v>1</v>
      </c>
      <c r="E648" s="69"/>
      <c r="F648" s="70"/>
      <c r="G648" s="71"/>
      <c r="H648" s="107"/>
      <c r="I648" s="202"/>
      <c r="J648" s="109" t="str">
        <f t="shared" si="43"/>
        <v/>
      </c>
      <c r="K648" s="109" t="s">
        <v>1768</v>
      </c>
      <c r="L648" s="110" t="str">
        <f t="shared" ca="1" si="44"/>
        <v/>
      </c>
    </row>
    <row r="649" spans="1:12" outlineLevel="2" x14ac:dyDescent="0.2">
      <c r="A649" s="121" t="s">
        <v>1759</v>
      </c>
      <c r="B649" s="76" t="s">
        <v>912</v>
      </c>
      <c r="C649" s="76" t="s">
        <v>928</v>
      </c>
      <c r="D649" s="135">
        <v>3</v>
      </c>
      <c r="E649" s="69"/>
      <c r="F649" s="70"/>
      <c r="G649" s="71"/>
      <c r="H649" s="107"/>
      <c r="I649" s="202"/>
      <c r="J649" s="109" t="str">
        <f t="shared" si="43"/>
        <v/>
      </c>
      <c r="K649" s="109" t="s">
        <v>1768</v>
      </c>
      <c r="L649" s="110" t="str">
        <f t="shared" ca="1" si="44"/>
        <v/>
      </c>
    </row>
    <row r="650" spans="1:12" outlineLevel="2" x14ac:dyDescent="0.2">
      <c r="A650" s="121" t="s">
        <v>1760</v>
      </c>
      <c r="B650" s="76" t="s">
        <v>913</v>
      </c>
      <c r="C650" s="76" t="s">
        <v>929</v>
      </c>
      <c r="D650" s="135">
        <v>1</v>
      </c>
      <c r="E650" s="69"/>
      <c r="F650" s="70"/>
      <c r="G650" s="71"/>
      <c r="H650" s="107"/>
      <c r="I650" s="202"/>
      <c r="J650" s="109" t="str">
        <f t="shared" si="43"/>
        <v/>
      </c>
      <c r="K650" s="109" t="s">
        <v>1768</v>
      </c>
      <c r="L650" s="110" t="str">
        <f t="shared" ca="1" si="44"/>
        <v/>
      </c>
    </row>
    <row r="651" spans="1:12" ht="13.5" outlineLevel="2" thickBot="1" x14ac:dyDescent="0.25">
      <c r="A651" s="121" t="s">
        <v>1761</v>
      </c>
      <c r="B651" s="124" t="s">
        <v>914</v>
      </c>
      <c r="C651" s="124" t="s">
        <v>930</v>
      </c>
      <c r="D651" s="136">
        <v>1</v>
      </c>
      <c r="E651" s="81"/>
      <c r="F651" s="74"/>
      <c r="G651" s="75"/>
      <c r="H651" s="108"/>
      <c r="I651" s="205"/>
      <c r="J651" s="129" t="str">
        <f t="shared" si="43"/>
        <v/>
      </c>
      <c r="K651" s="129" t="s">
        <v>1768</v>
      </c>
      <c r="L651" s="130" t="str">
        <f t="shared" ca="1" si="44"/>
        <v/>
      </c>
    </row>
    <row r="652" spans="1:12" outlineLevel="2" x14ac:dyDescent="0.2">
      <c r="A652" s="140"/>
      <c r="B652" s="144"/>
      <c r="C652" s="153"/>
      <c r="D652" s="150"/>
      <c r="E652" s="59"/>
      <c r="F652" s="60"/>
      <c r="G652" s="25"/>
      <c r="H652" s="114"/>
      <c r="I652" s="211"/>
      <c r="J652" s="203" t="str">
        <f t="shared" si="43"/>
        <v/>
      </c>
      <c r="K652" s="203" t="s">
        <v>1768</v>
      </c>
      <c r="L652" s="212" t="str">
        <f t="shared" ca="1" si="44"/>
        <v/>
      </c>
    </row>
    <row r="653" spans="1:12" ht="13.5" outlineLevel="2" thickBot="1" x14ac:dyDescent="0.25">
      <c r="A653" s="140"/>
      <c r="B653" s="83"/>
      <c r="C653" s="154"/>
      <c r="D653" s="151"/>
      <c r="E653" s="84"/>
      <c r="F653" s="85"/>
      <c r="G653" s="86"/>
      <c r="H653" s="115"/>
      <c r="I653" s="218"/>
      <c r="J653" s="219" t="str">
        <f t="shared" si="43"/>
        <v/>
      </c>
      <c r="K653" s="219" t="s">
        <v>1768</v>
      </c>
      <c r="L653" s="220" t="str">
        <f t="shared" ca="1" si="44"/>
        <v/>
      </c>
    </row>
    <row r="654" spans="1:12" outlineLevel="2" x14ac:dyDescent="0.2">
      <c r="A654" s="352">
        <v>18</v>
      </c>
      <c r="B654" s="354" t="s">
        <v>321</v>
      </c>
      <c r="C654" s="356" t="s">
        <v>322</v>
      </c>
      <c r="D654" s="358">
        <f>F655</f>
        <v>1</v>
      </c>
      <c r="E654" s="360">
        <v>267445.71000000002</v>
      </c>
      <c r="F654" s="67">
        <v>267445.71000000002</v>
      </c>
      <c r="G654" s="68"/>
      <c r="H654" s="379" t="s">
        <v>463</v>
      </c>
      <c r="I654" s="202"/>
      <c r="J654" s="109" t="str">
        <f t="shared" si="43"/>
        <v/>
      </c>
      <c r="K654" s="109" t="s">
        <v>1768</v>
      </c>
      <c r="L654" s="110" t="str">
        <f t="shared" ca="1" si="44"/>
        <v/>
      </c>
    </row>
    <row r="655" spans="1:12" outlineLevel="2" x14ac:dyDescent="0.2">
      <c r="A655" s="353"/>
      <c r="B655" s="355"/>
      <c r="C655" s="357"/>
      <c r="D655" s="359"/>
      <c r="E655" s="361">
        <v>1</v>
      </c>
      <c r="F655" s="70">
        <v>1</v>
      </c>
      <c r="G655" s="71"/>
      <c r="H655" s="366"/>
      <c r="I655" s="202"/>
      <c r="J655" s="109" t="str">
        <f t="shared" si="43"/>
        <v/>
      </c>
      <c r="K655" s="109" t="s">
        <v>1768</v>
      </c>
      <c r="L655" s="110" t="str">
        <f t="shared" ca="1" si="44"/>
        <v/>
      </c>
    </row>
    <row r="656" spans="1:12" outlineLevel="2" x14ac:dyDescent="0.2">
      <c r="A656" s="121" t="s">
        <v>1762</v>
      </c>
      <c r="B656" s="76" t="s">
        <v>931</v>
      </c>
      <c r="C656" s="76" t="s">
        <v>935</v>
      </c>
      <c r="D656" s="135">
        <v>1</v>
      </c>
      <c r="E656" s="69"/>
      <c r="F656" s="70"/>
      <c r="G656" s="71"/>
      <c r="H656" s="107"/>
      <c r="I656" s="202"/>
      <c r="J656" s="109" t="str">
        <f t="shared" si="43"/>
        <v/>
      </c>
      <c r="K656" s="109" t="s">
        <v>1768</v>
      </c>
      <c r="L656" s="110" t="str">
        <f t="shared" ca="1" si="44"/>
        <v/>
      </c>
    </row>
    <row r="657" spans="1:12" outlineLevel="2" x14ac:dyDescent="0.2">
      <c r="A657" s="121" t="s">
        <v>1763</v>
      </c>
      <c r="B657" s="76" t="s">
        <v>932</v>
      </c>
      <c r="C657" s="76" t="s">
        <v>936</v>
      </c>
      <c r="D657" s="135">
        <v>3</v>
      </c>
      <c r="E657" s="69"/>
      <c r="F657" s="70"/>
      <c r="G657" s="71"/>
      <c r="H657" s="107"/>
      <c r="I657" s="202"/>
      <c r="J657" s="109" t="str">
        <f t="shared" si="43"/>
        <v/>
      </c>
      <c r="K657" s="109" t="s">
        <v>1768</v>
      </c>
      <c r="L657" s="110" t="str">
        <f t="shared" ca="1" si="44"/>
        <v/>
      </c>
    </row>
    <row r="658" spans="1:12" outlineLevel="2" x14ac:dyDescent="0.2">
      <c r="A658" s="121" t="s">
        <v>1764</v>
      </c>
      <c r="B658" s="76" t="s">
        <v>933</v>
      </c>
      <c r="C658" s="76" t="s">
        <v>937</v>
      </c>
      <c r="D658" s="135">
        <v>1</v>
      </c>
      <c r="E658" s="69"/>
      <c r="F658" s="70"/>
      <c r="G658" s="71"/>
      <c r="H658" s="107"/>
      <c r="I658" s="202"/>
      <c r="J658" s="109" t="str">
        <f t="shared" si="43"/>
        <v/>
      </c>
      <c r="K658" s="109" t="s">
        <v>1768</v>
      </c>
      <c r="L658" s="110" t="str">
        <f t="shared" ca="1" si="44"/>
        <v/>
      </c>
    </row>
    <row r="659" spans="1:12" ht="13.5" outlineLevel="2" thickBot="1" x14ac:dyDescent="0.25">
      <c r="A659" s="121" t="s">
        <v>1765</v>
      </c>
      <c r="B659" s="124" t="s">
        <v>934</v>
      </c>
      <c r="C659" s="124" t="s">
        <v>938</v>
      </c>
      <c r="D659" s="136">
        <v>12</v>
      </c>
      <c r="E659" s="81"/>
      <c r="F659" s="74"/>
      <c r="G659" s="75"/>
      <c r="H659" s="108"/>
      <c r="I659" s="205"/>
      <c r="J659" s="129" t="str">
        <f t="shared" si="43"/>
        <v/>
      </c>
      <c r="K659" s="129" t="s">
        <v>1768</v>
      </c>
      <c r="L659" s="130" t="str">
        <f t="shared" ca="1" si="44"/>
        <v/>
      </c>
    </row>
    <row r="660" spans="1:12" ht="13.5" outlineLevel="2" thickBot="1" x14ac:dyDescent="0.25">
      <c r="A660" s="140"/>
      <c r="B660" s="126"/>
      <c r="C660" s="152"/>
      <c r="D660" s="149"/>
      <c r="E660" s="77"/>
      <c r="F660" s="78"/>
      <c r="G660" s="79"/>
      <c r="H660" s="111"/>
      <c r="I660" s="223"/>
      <c r="J660" s="224" t="str">
        <f t="shared" si="43"/>
        <v/>
      </c>
      <c r="K660" s="224" t="s">
        <v>1768</v>
      </c>
      <c r="L660" s="225" t="str">
        <f t="shared" ca="1" si="44"/>
        <v/>
      </c>
    </row>
    <row r="661" spans="1:12" outlineLevel="2" x14ac:dyDescent="0.2">
      <c r="A661" s="352">
        <v>19</v>
      </c>
      <c r="B661" s="354" t="s">
        <v>323</v>
      </c>
      <c r="C661" s="356" t="s">
        <v>324</v>
      </c>
      <c r="D661" s="358">
        <f>F662</f>
        <v>1</v>
      </c>
      <c r="E661" s="360">
        <v>213656.74</v>
      </c>
      <c r="F661" s="67">
        <v>213656.74</v>
      </c>
      <c r="G661" s="68"/>
      <c r="H661" s="379" t="s">
        <v>463</v>
      </c>
      <c r="I661" s="204"/>
      <c r="J661" s="131" t="str">
        <f t="shared" si="43"/>
        <v/>
      </c>
      <c r="K661" s="131" t="s">
        <v>1768</v>
      </c>
      <c r="L661" s="132" t="str">
        <f t="shared" ca="1" si="44"/>
        <v/>
      </c>
    </row>
    <row r="662" spans="1:12" outlineLevel="2" x14ac:dyDescent="0.2">
      <c r="A662" s="353"/>
      <c r="B662" s="355"/>
      <c r="C662" s="357"/>
      <c r="D662" s="359"/>
      <c r="E662" s="361">
        <v>1</v>
      </c>
      <c r="F662" s="70">
        <v>1</v>
      </c>
      <c r="G662" s="71"/>
      <c r="H662" s="366"/>
      <c r="I662" s="202"/>
      <c r="J662" s="109" t="str">
        <f t="shared" si="43"/>
        <v/>
      </c>
      <c r="K662" s="109" t="s">
        <v>1768</v>
      </c>
      <c r="L662" s="110" t="str">
        <f t="shared" ca="1" si="44"/>
        <v/>
      </c>
    </row>
    <row r="663" spans="1:12" outlineLevel="2" x14ac:dyDescent="0.2">
      <c r="A663" s="121" t="s">
        <v>1766</v>
      </c>
      <c r="B663" s="76" t="s">
        <v>939</v>
      </c>
      <c r="C663" s="76" t="s">
        <v>940</v>
      </c>
      <c r="D663" s="135">
        <v>1</v>
      </c>
      <c r="E663" s="87"/>
      <c r="F663" s="87"/>
      <c r="G663" s="87"/>
      <c r="H663" s="116"/>
      <c r="I663" s="202"/>
      <c r="J663" s="109" t="str">
        <f t="shared" si="43"/>
        <v/>
      </c>
      <c r="K663" s="109" t="s">
        <v>1768</v>
      </c>
      <c r="L663" s="110" t="str">
        <f t="shared" ca="1" si="44"/>
        <v/>
      </c>
    </row>
    <row r="664" spans="1:12" ht="13.5" outlineLevel="2" thickBot="1" x14ac:dyDescent="0.25">
      <c r="A664" s="121" t="s">
        <v>1767</v>
      </c>
      <c r="B664" s="124" t="s">
        <v>953</v>
      </c>
      <c r="C664" s="124" t="s">
        <v>941</v>
      </c>
      <c r="D664" s="136">
        <v>14</v>
      </c>
      <c r="E664" s="88"/>
      <c r="F664" s="88"/>
      <c r="G664" s="88"/>
      <c r="H664" s="117"/>
      <c r="I664" s="205"/>
      <c r="J664" s="129" t="str">
        <f t="shared" si="43"/>
        <v/>
      </c>
      <c r="K664" s="129" t="s">
        <v>1768</v>
      </c>
      <c r="L664" s="130" t="str">
        <f t="shared" ca="1" si="44"/>
        <v/>
      </c>
    </row>
    <row r="665" spans="1:12" outlineLevel="2" x14ac:dyDescent="0.2">
      <c r="A665" s="3"/>
      <c r="C665" s="3"/>
      <c r="E665" s="3"/>
      <c r="F665" s="3"/>
      <c r="G665" s="3"/>
      <c r="H665" s="3"/>
      <c r="I665" s="211"/>
      <c r="J665" s="203" t="str">
        <f t="shared" si="43"/>
        <v/>
      </c>
      <c r="K665" s="203" t="str">
        <f>IF($I665="","", $I665 &amp; TEXT(COUNTIF($I$8:$I665,$I665),"00000") &amp; $J665)</f>
        <v/>
      </c>
      <c r="L665" s="212" t="str">
        <f t="shared" ca="1" si="44"/>
        <v/>
      </c>
    </row>
    <row r="666" spans="1:12" outlineLevel="2" x14ac:dyDescent="0.2">
      <c r="A666" s="3"/>
      <c r="C666" s="3"/>
      <c r="E666" s="3"/>
      <c r="F666" s="3"/>
      <c r="G666" s="3"/>
      <c r="H666" s="3"/>
      <c r="I666" s="211"/>
      <c r="J666" s="203" t="str">
        <f t="shared" si="43"/>
        <v/>
      </c>
      <c r="K666" s="203" t="str">
        <f>IF($I666="","", $I666 &amp; TEXT(COUNTIF($I$8:$I666,$I666),"00000") &amp; $J666)</f>
        <v/>
      </c>
      <c r="L666" s="212" t="str">
        <f t="shared" ca="1" si="44"/>
        <v/>
      </c>
    </row>
    <row r="667" spans="1:12" x14ac:dyDescent="0.2">
      <c r="L667" s="241"/>
    </row>
  </sheetData>
  <autoFilter ref="C3:L667"/>
  <mergeCells count="130">
    <mergeCell ref="A1:L2"/>
    <mergeCell ref="B91:B92"/>
    <mergeCell ref="C91:C92"/>
    <mergeCell ref="D91:D92"/>
    <mergeCell ref="E91:E92"/>
    <mergeCell ref="H91:H92"/>
    <mergeCell ref="H661:H662"/>
    <mergeCell ref="A661:A662"/>
    <mergeCell ref="B661:B662"/>
    <mergeCell ref="C661:C662"/>
    <mergeCell ref="D661:D662"/>
    <mergeCell ref="E661:E662"/>
    <mergeCell ref="H632:H633"/>
    <mergeCell ref="A654:A655"/>
    <mergeCell ref="B654:B655"/>
    <mergeCell ref="C654:C655"/>
    <mergeCell ref="D654:D655"/>
    <mergeCell ref="E654:E655"/>
    <mergeCell ref="H654:H655"/>
    <mergeCell ref="A632:A633"/>
    <mergeCell ref="B632:B633"/>
    <mergeCell ref="C632:C633"/>
    <mergeCell ref="D632:D633"/>
    <mergeCell ref="E632:E633"/>
    <mergeCell ref="H480:H481"/>
    <mergeCell ref="A551:A552"/>
    <mergeCell ref="B551:B552"/>
    <mergeCell ref="C551:C552"/>
    <mergeCell ref="D551:D552"/>
    <mergeCell ref="E551:E552"/>
    <mergeCell ref="H551:H552"/>
    <mergeCell ref="A480:A481"/>
    <mergeCell ref="B480:B481"/>
    <mergeCell ref="C480:C481"/>
    <mergeCell ref="D480:D481"/>
    <mergeCell ref="E480:E481"/>
    <mergeCell ref="H398:H399"/>
    <mergeCell ref="A405:A406"/>
    <mergeCell ref="B405:B406"/>
    <mergeCell ref="C405:C406"/>
    <mergeCell ref="D405:D406"/>
    <mergeCell ref="E405:E406"/>
    <mergeCell ref="H405:H406"/>
    <mergeCell ref="A398:A399"/>
    <mergeCell ref="B398:B399"/>
    <mergeCell ref="C398:C399"/>
    <mergeCell ref="D398:D399"/>
    <mergeCell ref="E398:E399"/>
    <mergeCell ref="H380:H381"/>
    <mergeCell ref="A390:A391"/>
    <mergeCell ref="B390:B391"/>
    <mergeCell ref="C390:C391"/>
    <mergeCell ref="D390:D391"/>
    <mergeCell ref="E390:E391"/>
    <mergeCell ref="H390:H391"/>
    <mergeCell ref="A380:A381"/>
    <mergeCell ref="B380:B381"/>
    <mergeCell ref="C380:C381"/>
    <mergeCell ref="D380:D381"/>
    <mergeCell ref="E380:E381"/>
    <mergeCell ref="A311:A312"/>
    <mergeCell ref="B311:B312"/>
    <mergeCell ref="C311:C312"/>
    <mergeCell ref="D311:D312"/>
    <mergeCell ref="E311:E312"/>
    <mergeCell ref="H311:H312"/>
    <mergeCell ref="H291:H292"/>
    <mergeCell ref="A291:A292"/>
    <mergeCell ref="B291:B292"/>
    <mergeCell ref="C291:C292"/>
    <mergeCell ref="D291:D292"/>
    <mergeCell ref="E291:E292"/>
    <mergeCell ref="H244:H245"/>
    <mergeCell ref="A271:A272"/>
    <mergeCell ref="B271:B272"/>
    <mergeCell ref="C271:C272"/>
    <mergeCell ref="D271:D272"/>
    <mergeCell ref="E271:E272"/>
    <mergeCell ref="H271:H272"/>
    <mergeCell ref="A244:A245"/>
    <mergeCell ref="B244:B245"/>
    <mergeCell ref="C244:C245"/>
    <mergeCell ref="D244:D245"/>
    <mergeCell ref="E244:E245"/>
    <mergeCell ref="H171:H172"/>
    <mergeCell ref="A192:A193"/>
    <mergeCell ref="B192:B193"/>
    <mergeCell ref="C192:C193"/>
    <mergeCell ref="D192:D193"/>
    <mergeCell ref="E192:E193"/>
    <mergeCell ref="H192:H193"/>
    <mergeCell ref="A171:A172"/>
    <mergeCell ref="B171:B172"/>
    <mergeCell ref="C171:C172"/>
    <mergeCell ref="D171:D172"/>
    <mergeCell ref="E171:E172"/>
    <mergeCell ref="A147:A148"/>
    <mergeCell ref="B147:B148"/>
    <mergeCell ref="C147:C148"/>
    <mergeCell ref="D147:D148"/>
    <mergeCell ref="E147:E148"/>
    <mergeCell ref="A5:A6"/>
    <mergeCell ref="B5:B6"/>
    <mergeCell ref="C5:C6"/>
    <mergeCell ref="H147:H148"/>
    <mergeCell ref="A100:A101"/>
    <mergeCell ref="B100:B101"/>
    <mergeCell ref="C100:C101"/>
    <mergeCell ref="D100:D101"/>
    <mergeCell ref="E100:E101"/>
    <mergeCell ref="A85:A86"/>
    <mergeCell ref="B85:B86"/>
    <mergeCell ref="C85:C86"/>
    <mergeCell ref="D85:D86"/>
    <mergeCell ref="E85:E86"/>
    <mergeCell ref="H85:H86"/>
    <mergeCell ref="D5:D6"/>
    <mergeCell ref="E5:E6"/>
    <mergeCell ref="H5:H6"/>
    <mergeCell ref="H100:H101"/>
    <mergeCell ref="I3:I4"/>
    <mergeCell ref="K3:K4"/>
    <mergeCell ref="L3:L4"/>
    <mergeCell ref="J3:J4"/>
    <mergeCell ref="A3:A4"/>
    <mergeCell ref="B3:B4"/>
    <mergeCell ref="C3:C4"/>
    <mergeCell ref="D3:D4"/>
    <mergeCell ref="E3:E4"/>
    <mergeCell ref="H3:H4"/>
  </mergeCells>
  <conditionalFormatting sqref="B93:B1048576 B3:B91">
    <cfRule type="duplicateValues" dxfId="17" priority="1"/>
    <cfRule type="duplicateValues" dxfId="16" priority="2"/>
  </conditionalFormatting>
  <conditionalFormatting sqref="B150:B163">
    <cfRule type="duplicateValues" dxfId="15" priority="21"/>
  </conditionalFormatting>
  <conditionalFormatting sqref="B174:B187">
    <cfRule type="duplicateValues" dxfId="14" priority="20"/>
  </conditionalFormatting>
  <conditionalFormatting sqref="B247:B259">
    <cfRule type="duplicateValues" dxfId="13" priority="17"/>
    <cfRule type="duplicateValues" dxfId="12" priority="18"/>
  </conditionalFormatting>
  <conditionalFormatting sqref="B274:B286">
    <cfRule type="duplicateValues" dxfId="11" priority="15"/>
    <cfRule type="duplicateValues" dxfId="10" priority="16"/>
  </conditionalFormatting>
  <conditionalFormatting sqref="B294:B306">
    <cfRule type="duplicateValues" dxfId="9" priority="13"/>
    <cfRule type="duplicateValues" dxfId="8" priority="14"/>
  </conditionalFormatting>
  <conditionalFormatting sqref="B483:B527">
    <cfRule type="duplicateValues" dxfId="7" priority="38"/>
  </conditionalFormatting>
  <conditionalFormatting sqref="B554:B608">
    <cfRule type="duplicateValues" dxfId="6" priority="168"/>
  </conditionalFormatting>
  <conditionalFormatting sqref="B554:B609">
    <cfRule type="duplicateValues" dxfId="5" priority="202"/>
  </conditionalFormatting>
  <conditionalFormatting sqref="B609">
    <cfRule type="duplicateValues" dxfId="4" priority="196"/>
  </conditionalFormatting>
  <conditionalFormatting sqref="B610:B1048576 B93:B553 B3:B91">
    <cfRule type="duplicateValues" dxfId="3" priority="193"/>
  </conditionalFormatting>
  <conditionalFormatting sqref="B610:B1048576 B528:B553 B164:B173 B188:B246 B260:B273 B287:B293 B307:B482 B93:B149 B3:B91">
    <cfRule type="duplicateValues" dxfId="2" priority="171"/>
  </conditionalFormatting>
  <conditionalFormatting sqref="B610:B1048576 B528:B553 B93:B482 B3:B91">
    <cfRule type="duplicateValues" dxfId="1" priority="189"/>
  </conditionalFormatting>
  <conditionalFormatting sqref="B610:B1048576 B528:B553 B260:B273 B287:B293 B307:B482 B93:B246 B3:B91">
    <cfRule type="duplicateValues" dxfId="0" priority="182"/>
  </conditionalFormatting>
  <dataValidations count="1">
    <dataValidation type="list" showInputMessage="1" showErrorMessage="1" sqref="I294:I666 I7:I50 I53:I292">
      <formula1>"ELC,PCB,ELM,MEC,MIX,CAB,SWC,PWR,PAC,BIO,ETC"</formula1>
    </dataValidation>
  </dataValidations>
  <pageMargins left="0.19685039370078738" right="0.19685039370078738" top="0.39370078740157477" bottom="0.39370078740157477" header="0" footer="0"/>
  <pageSetup paperSize="9" scale="10" fitToHeight="0" pageOrder="overThenDown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5"/>
  <sheetViews>
    <sheetView workbookViewId="0">
      <selection activeCell="H17" sqref="H17"/>
    </sheetView>
  </sheetViews>
  <sheetFormatPr defaultRowHeight="11.25" x14ac:dyDescent="0.2"/>
  <cols>
    <col min="1" max="1" width="3.5" style="239" customWidth="1"/>
    <col min="2" max="2" width="23.1640625" customWidth="1"/>
    <col min="3" max="3" width="17.83203125" customWidth="1"/>
    <col min="4" max="4" width="14.1640625" customWidth="1"/>
    <col min="5" max="5" width="18.83203125" customWidth="1"/>
    <col min="6" max="6" width="20.6640625" customWidth="1"/>
  </cols>
  <sheetData>
    <row r="1" spans="1:6" ht="12" thickBot="1" x14ac:dyDescent="0.25"/>
    <row r="2" spans="1:6" ht="13.5" thickBot="1" x14ac:dyDescent="0.25">
      <c r="A2" s="236" t="s">
        <v>1660</v>
      </c>
      <c r="B2" s="237" t="s">
        <v>996</v>
      </c>
      <c r="C2" s="237" t="s">
        <v>1661</v>
      </c>
      <c r="D2" s="237" t="s">
        <v>1662</v>
      </c>
      <c r="E2" s="237" t="s">
        <v>1663</v>
      </c>
      <c r="F2" s="238" t="s">
        <v>1664</v>
      </c>
    </row>
    <row r="3" spans="1:6" ht="12.75" x14ac:dyDescent="0.2">
      <c r="A3" s="240">
        <v>1</v>
      </c>
      <c r="B3" s="240"/>
      <c r="C3" s="235"/>
      <c r="D3" s="235"/>
      <c r="E3" s="235"/>
      <c r="F3" s="110"/>
    </row>
    <row r="4" spans="1:6" x14ac:dyDescent="0.2">
      <c r="A4" s="240">
        <v>2</v>
      </c>
      <c r="B4" s="240"/>
      <c r="C4" s="234"/>
      <c r="D4" s="234"/>
      <c r="E4" s="234"/>
      <c r="F4" s="234"/>
    </row>
    <row r="5" spans="1:6" x14ac:dyDescent="0.2">
      <c r="A5" s="240">
        <v>3</v>
      </c>
      <c r="B5" s="240"/>
      <c r="C5" s="234"/>
      <c r="D5" s="234"/>
      <c r="E5" s="234"/>
      <c r="F5" s="234"/>
    </row>
    <row r="6" spans="1:6" x14ac:dyDescent="0.2">
      <c r="A6" s="240">
        <v>4</v>
      </c>
      <c r="B6" s="240"/>
      <c r="C6" s="234"/>
      <c r="D6" s="234"/>
      <c r="E6" s="234"/>
      <c r="F6" s="234"/>
    </row>
    <row r="7" spans="1:6" x14ac:dyDescent="0.2">
      <c r="A7" s="240">
        <v>5</v>
      </c>
      <c r="B7" s="240"/>
      <c r="C7" s="234"/>
      <c r="D7" s="234"/>
      <c r="E7" s="234"/>
      <c r="F7" s="234"/>
    </row>
    <row r="8" spans="1:6" x14ac:dyDescent="0.2">
      <c r="A8" s="240">
        <v>6</v>
      </c>
      <c r="B8" s="240"/>
      <c r="C8" s="234"/>
      <c r="D8" s="234"/>
      <c r="E8" s="234"/>
      <c r="F8" s="234"/>
    </row>
    <row r="9" spans="1:6" x14ac:dyDescent="0.2">
      <c r="A9" s="240">
        <v>7</v>
      </c>
      <c r="B9" s="240"/>
      <c r="C9" s="234"/>
      <c r="D9" s="234"/>
      <c r="E9" s="234"/>
      <c r="F9" s="234"/>
    </row>
    <row r="10" spans="1:6" x14ac:dyDescent="0.2">
      <c r="A10" s="240">
        <v>8</v>
      </c>
      <c r="B10" s="240"/>
      <c r="C10" s="234"/>
      <c r="D10" s="234"/>
      <c r="E10" s="234"/>
      <c r="F10" s="234"/>
    </row>
    <row r="11" spans="1:6" x14ac:dyDescent="0.2">
      <c r="A11" s="240">
        <v>9</v>
      </c>
      <c r="B11" s="240"/>
      <c r="C11" s="234"/>
      <c r="D11" s="234"/>
      <c r="E11" s="234"/>
      <c r="F11" s="234"/>
    </row>
    <row r="12" spans="1:6" x14ac:dyDescent="0.2">
      <c r="A12" s="240">
        <v>10</v>
      </c>
      <c r="B12" s="240"/>
      <c r="C12" s="234"/>
      <c r="D12" s="234"/>
      <c r="E12" s="234"/>
      <c r="F12" s="234"/>
    </row>
    <row r="13" spans="1:6" x14ac:dyDescent="0.2">
      <c r="A13" s="240">
        <v>11</v>
      </c>
      <c r="B13" s="240"/>
      <c r="C13" s="234"/>
      <c r="D13" s="234"/>
      <c r="E13" s="234"/>
      <c r="F13" s="234"/>
    </row>
    <row r="14" spans="1:6" x14ac:dyDescent="0.2">
      <c r="A14" s="240">
        <v>12</v>
      </c>
      <c r="B14" s="240"/>
      <c r="C14" s="234"/>
      <c r="D14" s="234"/>
      <c r="E14" s="234"/>
      <c r="F14" s="234"/>
    </row>
    <row r="15" spans="1:6" x14ac:dyDescent="0.2">
      <c r="A15" s="240">
        <v>13</v>
      </c>
      <c r="B15" s="240"/>
      <c r="C15" s="234"/>
      <c r="D15" s="234"/>
      <c r="E15" s="234"/>
      <c r="F15" s="234"/>
    </row>
    <row r="16" spans="1:6" x14ac:dyDescent="0.2">
      <c r="A16" s="240">
        <v>14</v>
      </c>
      <c r="B16" s="240"/>
      <c r="C16" s="234"/>
      <c r="D16" s="234"/>
      <c r="E16" s="234"/>
      <c r="F16" s="234"/>
    </row>
    <row r="17" spans="1:6" x14ac:dyDescent="0.2">
      <c r="A17" s="240">
        <v>15</v>
      </c>
      <c r="B17" s="240"/>
      <c r="C17" s="234"/>
      <c r="D17" s="234"/>
      <c r="E17" s="234"/>
      <c r="F17" s="234"/>
    </row>
    <row r="18" spans="1:6" x14ac:dyDescent="0.2">
      <c r="A18" s="240">
        <v>16</v>
      </c>
      <c r="B18" s="240"/>
      <c r="C18" s="234"/>
      <c r="D18" s="234"/>
      <c r="E18" s="234"/>
      <c r="F18" s="234"/>
    </row>
    <row r="19" spans="1:6" x14ac:dyDescent="0.2">
      <c r="A19" s="240">
        <v>17</v>
      </c>
      <c r="B19" s="240"/>
      <c r="C19" s="234"/>
      <c r="D19" s="234"/>
      <c r="E19" s="234"/>
      <c r="F19" s="234"/>
    </row>
    <row r="20" spans="1:6" x14ac:dyDescent="0.2">
      <c r="A20" s="240">
        <v>18</v>
      </c>
      <c r="B20" s="240"/>
      <c r="C20" s="234"/>
      <c r="D20" s="234"/>
      <c r="E20" s="234"/>
      <c r="F20" s="234"/>
    </row>
    <row r="21" spans="1:6" x14ac:dyDescent="0.2">
      <c r="A21" s="240">
        <v>19</v>
      </c>
      <c r="B21" s="240"/>
      <c r="C21" s="234"/>
      <c r="D21" s="234"/>
      <c r="E21" s="234"/>
      <c r="F21" s="234"/>
    </row>
    <row r="22" spans="1:6" x14ac:dyDescent="0.2">
      <c r="A22" s="240">
        <v>20</v>
      </c>
      <c r="B22" s="240"/>
      <c r="C22" s="234"/>
      <c r="D22" s="234"/>
      <c r="E22" s="234"/>
      <c r="F22" s="234"/>
    </row>
    <row r="23" spans="1:6" x14ac:dyDescent="0.2">
      <c r="A23" s="240">
        <v>21</v>
      </c>
      <c r="B23" s="240"/>
      <c r="C23" s="234"/>
      <c r="D23" s="234"/>
      <c r="E23" s="234"/>
      <c r="F23" s="234"/>
    </row>
    <row r="24" spans="1:6" x14ac:dyDescent="0.2">
      <c r="A24" s="240">
        <v>22</v>
      </c>
      <c r="B24" s="240"/>
      <c r="C24" s="234"/>
      <c r="D24" s="234"/>
      <c r="E24" s="234"/>
      <c r="F24" s="234"/>
    </row>
    <row r="25" spans="1:6" x14ac:dyDescent="0.2">
      <c r="A25" s="240">
        <v>23</v>
      </c>
      <c r="B25" s="240"/>
      <c r="C25" s="234"/>
      <c r="D25" s="234"/>
      <c r="E25" s="234"/>
      <c r="F25" s="234"/>
    </row>
    <row r="26" spans="1:6" x14ac:dyDescent="0.2">
      <c r="A26" s="240">
        <v>24</v>
      </c>
      <c r="B26" s="240"/>
      <c r="C26" s="234"/>
      <c r="D26" s="234"/>
      <c r="E26" s="234"/>
      <c r="F26" s="234"/>
    </row>
    <row r="27" spans="1:6" x14ac:dyDescent="0.2">
      <c r="A27" s="240">
        <v>25</v>
      </c>
      <c r="B27" s="240"/>
      <c r="C27" s="234"/>
      <c r="D27" s="234"/>
      <c r="E27" s="234"/>
      <c r="F27" s="234"/>
    </row>
    <row r="28" spans="1:6" x14ac:dyDescent="0.2">
      <c r="A28" s="240">
        <v>26</v>
      </c>
      <c r="B28" s="240"/>
      <c r="C28" s="234"/>
      <c r="D28" s="234"/>
      <c r="E28" s="234"/>
      <c r="F28" s="234"/>
    </row>
    <row r="29" spans="1:6" x14ac:dyDescent="0.2">
      <c r="A29" s="240">
        <v>27</v>
      </c>
      <c r="B29" s="240"/>
      <c r="C29" s="234"/>
      <c r="D29" s="234"/>
      <c r="E29" s="234"/>
      <c r="F29" s="234"/>
    </row>
    <row r="30" spans="1:6" x14ac:dyDescent="0.2">
      <c r="A30" s="240">
        <v>28</v>
      </c>
      <c r="B30" s="240"/>
      <c r="C30" s="234"/>
      <c r="D30" s="234"/>
      <c r="E30" s="234"/>
      <c r="F30" s="234"/>
    </row>
    <row r="31" spans="1:6" x14ac:dyDescent="0.2">
      <c r="A31" s="240">
        <v>29</v>
      </c>
      <c r="B31" s="234"/>
      <c r="C31" s="234"/>
      <c r="D31" s="234"/>
      <c r="E31" s="234"/>
      <c r="F31" s="234"/>
    </row>
    <row r="32" spans="1:6" x14ac:dyDescent="0.2">
      <c r="A32" s="240">
        <v>30</v>
      </c>
      <c r="B32" s="234"/>
      <c r="C32" s="234"/>
      <c r="D32" s="234"/>
      <c r="E32" s="234"/>
      <c r="F32" s="234"/>
    </row>
    <row r="33" spans="1:1" x14ac:dyDescent="0.2">
      <c r="A33" s="240">
        <v>31</v>
      </c>
    </row>
    <row r="34" spans="1:1" x14ac:dyDescent="0.2">
      <c r="A34" s="240">
        <v>32</v>
      </c>
    </row>
    <row r="35" spans="1:1" x14ac:dyDescent="0.2">
      <c r="A35" s="240">
        <v>33</v>
      </c>
    </row>
    <row r="36" spans="1:1" x14ac:dyDescent="0.2">
      <c r="A36" s="240">
        <v>34</v>
      </c>
    </row>
    <row r="37" spans="1:1" x14ac:dyDescent="0.2">
      <c r="A37" s="240">
        <v>35</v>
      </c>
    </row>
    <row r="38" spans="1:1" x14ac:dyDescent="0.2">
      <c r="A38" s="240">
        <v>36</v>
      </c>
    </row>
    <row r="39" spans="1:1" x14ac:dyDescent="0.2">
      <c r="A39" s="240">
        <v>37</v>
      </c>
    </row>
    <row r="40" spans="1:1" x14ac:dyDescent="0.2">
      <c r="A40" s="240">
        <v>38</v>
      </c>
    </row>
    <row r="41" spans="1:1" x14ac:dyDescent="0.2">
      <c r="A41" s="240">
        <v>39</v>
      </c>
    </row>
    <row r="42" spans="1:1" x14ac:dyDescent="0.2">
      <c r="A42" s="240">
        <v>40</v>
      </c>
    </row>
    <row r="43" spans="1:1" x14ac:dyDescent="0.2">
      <c r="A43" s="240">
        <v>41</v>
      </c>
    </row>
    <row r="44" spans="1:1" x14ac:dyDescent="0.2">
      <c r="A44" s="240">
        <v>42</v>
      </c>
    </row>
    <row r="45" spans="1:1" x14ac:dyDescent="0.2">
      <c r="A45" s="240">
        <v>43</v>
      </c>
    </row>
    <row r="46" spans="1:1" x14ac:dyDescent="0.2">
      <c r="A46" s="240">
        <v>44</v>
      </c>
    </row>
    <row r="47" spans="1:1" x14ac:dyDescent="0.2">
      <c r="A47" s="240">
        <v>45</v>
      </c>
    </row>
    <row r="48" spans="1:1" x14ac:dyDescent="0.2">
      <c r="A48" s="240">
        <v>46</v>
      </c>
    </row>
    <row r="49" spans="1:1" x14ac:dyDescent="0.2">
      <c r="A49" s="240">
        <v>47</v>
      </c>
    </row>
    <row r="50" spans="1:1" x14ac:dyDescent="0.2">
      <c r="A50" s="240">
        <v>48</v>
      </c>
    </row>
    <row r="51" spans="1:1" x14ac:dyDescent="0.2">
      <c r="A51" s="240">
        <v>49</v>
      </c>
    </row>
    <row r="52" spans="1:1" x14ac:dyDescent="0.2">
      <c r="A52" s="240">
        <v>50</v>
      </c>
    </row>
    <row r="53" spans="1:1" x14ac:dyDescent="0.2">
      <c r="A53" s="240">
        <v>51</v>
      </c>
    </row>
    <row r="54" spans="1:1" x14ac:dyDescent="0.2">
      <c r="A54" s="240">
        <v>52</v>
      </c>
    </row>
    <row r="55" spans="1:1" x14ac:dyDescent="0.2">
      <c r="A55" s="240">
        <v>53</v>
      </c>
    </row>
    <row r="56" spans="1:1" x14ac:dyDescent="0.2">
      <c r="A56" s="240">
        <v>54</v>
      </c>
    </row>
    <row r="57" spans="1:1" x14ac:dyDescent="0.2">
      <c r="A57" s="240">
        <v>55</v>
      </c>
    </row>
    <row r="58" spans="1:1" x14ac:dyDescent="0.2">
      <c r="A58" s="240">
        <v>56</v>
      </c>
    </row>
    <row r="59" spans="1:1" x14ac:dyDescent="0.2">
      <c r="A59" s="240">
        <v>57</v>
      </c>
    </row>
    <row r="60" spans="1:1" x14ac:dyDescent="0.2">
      <c r="A60" s="240">
        <v>58</v>
      </c>
    </row>
    <row r="61" spans="1:1" x14ac:dyDescent="0.2">
      <c r="A61" s="240">
        <v>59</v>
      </c>
    </row>
    <row r="62" spans="1:1" x14ac:dyDescent="0.2">
      <c r="A62" s="240">
        <v>60</v>
      </c>
    </row>
    <row r="63" spans="1:1" x14ac:dyDescent="0.2">
      <c r="A63" s="240">
        <v>61</v>
      </c>
    </row>
    <row r="64" spans="1:1" x14ac:dyDescent="0.2">
      <c r="A64" s="240">
        <v>62</v>
      </c>
    </row>
    <row r="65" spans="1:1" x14ac:dyDescent="0.2">
      <c r="A65" s="240">
        <v>63</v>
      </c>
    </row>
    <row r="66" spans="1:1" x14ac:dyDescent="0.2">
      <c r="A66" s="240">
        <v>64</v>
      </c>
    </row>
    <row r="67" spans="1:1" x14ac:dyDescent="0.2">
      <c r="A67" s="240">
        <v>65</v>
      </c>
    </row>
    <row r="68" spans="1:1" x14ac:dyDescent="0.2">
      <c r="A68" s="240">
        <v>66</v>
      </c>
    </row>
    <row r="69" spans="1:1" x14ac:dyDescent="0.2">
      <c r="A69" s="240">
        <v>67</v>
      </c>
    </row>
    <row r="70" spans="1:1" x14ac:dyDescent="0.2">
      <c r="A70" s="240">
        <v>68</v>
      </c>
    </row>
    <row r="71" spans="1:1" x14ac:dyDescent="0.2">
      <c r="A71" s="240">
        <v>69</v>
      </c>
    </row>
    <row r="72" spans="1:1" x14ac:dyDescent="0.2">
      <c r="A72" s="240">
        <v>70</v>
      </c>
    </row>
    <row r="73" spans="1:1" x14ac:dyDescent="0.2">
      <c r="A73" s="240">
        <v>71</v>
      </c>
    </row>
    <row r="74" spans="1:1" x14ac:dyDescent="0.2">
      <c r="A74" s="240">
        <v>72</v>
      </c>
    </row>
    <row r="75" spans="1:1" x14ac:dyDescent="0.2">
      <c r="A75" s="240">
        <v>73</v>
      </c>
    </row>
    <row r="76" spans="1:1" x14ac:dyDescent="0.2">
      <c r="A76" s="240">
        <v>74</v>
      </c>
    </row>
    <row r="77" spans="1:1" x14ac:dyDescent="0.2">
      <c r="A77" s="240">
        <v>75</v>
      </c>
    </row>
    <row r="78" spans="1:1" x14ac:dyDescent="0.2">
      <c r="A78" s="240">
        <v>76</v>
      </c>
    </row>
    <row r="79" spans="1:1" x14ac:dyDescent="0.2">
      <c r="A79" s="240">
        <v>77</v>
      </c>
    </row>
    <row r="80" spans="1:1" x14ac:dyDescent="0.2">
      <c r="A80" s="240">
        <v>78</v>
      </c>
    </row>
    <row r="81" spans="1:1" x14ac:dyDescent="0.2">
      <c r="A81" s="240">
        <v>79</v>
      </c>
    </row>
    <row r="82" spans="1:1" x14ac:dyDescent="0.2">
      <c r="A82" s="240">
        <v>80</v>
      </c>
    </row>
    <row r="83" spans="1:1" x14ac:dyDescent="0.2">
      <c r="A83" s="240">
        <v>81</v>
      </c>
    </row>
    <row r="84" spans="1:1" x14ac:dyDescent="0.2">
      <c r="A84" s="240">
        <v>82</v>
      </c>
    </row>
    <row r="85" spans="1:1" x14ac:dyDescent="0.2">
      <c r="A85" s="240">
        <v>83</v>
      </c>
    </row>
    <row r="86" spans="1:1" x14ac:dyDescent="0.2">
      <c r="A86" s="240">
        <v>84</v>
      </c>
    </row>
    <row r="87" spans="1:1" x14ac:dyDescent="0.2">
      <c r="A87" s="240">
        <v>85</v>
      </c>
    </row>
    <row r="88" spans="1:1" x14ac:dyDescent="0.2">
      <c r="A88" s="240">
        <v>86</v>
      </c>
    </row>
    <row r="89" spans="1:1" x14ac:dyDescent="0.2">
      <c r="A89" s="240">
        <v>87</v>
      </c>
    </row>
    <row r="90" spans="1:1" x14ac:dyDescent="0.2">
      <c r="A90" s="240">
        <v>88</v>
      </c>
    </row>
    <row r="91" spans="1:1" x14ac:dyDescent="0.2">
      <c r="A91" s="240">
        <v>89</v>
      </c>
    </row>
    <row r="92" spans="1:1" x14ac:dyDescent="0.2">
      <c r="A92" s="240">
        <v>90</v>
      </c>
    </row>
    <row r="93" spans="1:1" x14ac:dyDescent="0.2">
      <c r="A93" s="240">
        <v>91</v>
      </c>
    </row>
    <row r="94" spans="1:1" x14ac:dyDescent="0.2">
      <c r="A94" s="240">
        <v>92</v>
      </c>
    </row>
    <row r="95" spans="1:1" x14ac:dyDescent="0.2">
      <c r="A95" s="240">
        <v>93</v>
      </c>
    </row>
    <row r="96" spans="1:1" x14ac:dyDescent="0.2">
      <c r="A96" s="240">
        <v>94</v>
      </c>
    </row>
    <row r="97" spans="1:1" x14ac:dyDescent="0.2">
      <c r="A97" s="240">
        <v>95</v>
      </c>
    </row>
    <row r="98" spans="1:1" x14ac:dyDescent="0.2">
      <c r="A98" s="240">
        <v>96</v>
      </c>
    </row>
    <row r="99" spans="1:1" x14ac:dyDescent="0.2">
      <c r="A99" s="240">
        <v>97</v>
      </c>
    </row>
    <row r="100" spans="1:1" x14ac:dyDescent="0.2">
      <c r="A100" s="240">
        <v>98</v>
      </c>
    </row>
    <row r="101" spans="1:1" x14ac:dyDescent="0.2">
      <c r="A101" s="240">
        <v>99</v>
      </c>
    </row>
    <row r="102" spans="1:1" x14ac:dyDescent="0.2">
      <c r="A102" s="240">
        <v>100</v>
      </c>
    </row>
    <row r="103" spans="1:1" x14ac:dyDescent="0.2">
      <c r="A103" s="240">
        <v>101</v>
      </c>
    </row>
    <row r="104" spans="1:1" x14ac:dyDescent="0.2">
      <c r="A104" s="240">
        <v>102</v>
      </c>
    </row>
    <row r="105" spans="1:1" x14ac:dyDescent="0.2">
      <c r="A105" s="240">
        <v>103</v>
      </c>
    </row>
    <row r="106" spans="1:1" x14ac:dyDescent="0.2">
      <c r="A106" s="240">
        <v>104</v>
      </c>
    </row>
    <row r="107" spans="1:1" x14ac:dyDescent="0.2">
      <c r="A107" s="240">
        <v>105</v>
      </c>
    </row>
    <row r="108" spans="1:1" x14ac:dyDescent="0.2">
      <c r="A108" s="240">
        <v>106</v>
      </c>
    </row>
    <row r="109" spans="1:1" x14ac:dyDescent="0.2">
      <c r="A109" s="240">
        <v>107</v>
      </c>
    </row>
    <row r="110" spans="1:1" x14ac:dyDescent="0.2">
      <c r="A110" s="240">
        <v>108</v>
      </c>
    </row>
    <row r="111" spans="1:1" x14ac:dyDescent="0.2">
      <c r="A111" s="240">
        <v>109</v>
      </c>
    </row>
    <row r="112" spans="1:1" x14ac:dyDescent="0.2">
      <c r="A112" s="240">
        <v>110</v>
      </c>
    </row>
    <row r="113" spans="1:1" x14ac:dyDescent="0.2">
      <c r="A113" s="240">
        <v>111</v>
      </c>
    </row>
    <row r="114" spans="1:1" x14ac:dyDescent="0.2">
      <c r="A114" s="240">
        <v>112</v>
      </c>
    </row>
    <row r="115" spans="1:1" x14ac:dyDescent="0.2">
      <c r="A115" s="240">
        <v>113</v>
      </c>
    </row>
    <row r="116" spans="1:1" x14ac:dyDescent="0.2">
      <c r="A116" s="240">
        <v>114</v>
      </c>
    </row>
    <row r="117" spans="1:1" x14ac:dyDescent="0.2">
      <c r="A117" s="240">
        <v>115</v>
      </c>
    </row>
    <row r="118" spans="1:1" x14ac:dyDescent="0.2">
      <c r="A118" s="240">
        <v>116</v>
      </c>
    </row>
    <row r="119" spans="1:1" x14ac:dyDescent="0.2">
      <c r="A119" s="240">
        <v>117</v>
      </c>
    </row>
    <row r="120" spans="1:1" x14ac:dyDescent="0.2">
      <c r="A120" s="240">
        <v>118</v>
      </c>
    </row>
    <row r="121" spans="1:1" x14ac:dyDescent="0.2">
      <c r="A121" s="240">
        <v>119</v>
      </c>
    </row>
    <row r="122" spans="1:1" x14ac:dyDescent="0.2">
      <c r="A122" s="240">
        <v>120</v>
      </c>
    </row>
    <row r="123" spans="1:1" x14ac:dyDescent="0.2">
      <c r="A123" s="240">
        <v>121</v>
      </c>
    </row>
    <row r="124" spans="1:1" x14ac:dyDescent="0.2">
      <c r="A124" s="240">
        <v>122</v>
      </c>
    </row>
    <row r="125" spans="1:1" x14ac:dyDescent="0.2">
      <c r="A125" s="240">
        <v>123</v>
      </c>
    </row>
    <row r="126" spans="1:1" x14ac:dyDescent="0.2">
      <c r="A126" s="240">
        <v>124</v>
      </c>
    </row>
    <row r="127" spans="1:1" x14ac:dyDescent="0.2">
      <c r="A127" s="240">
        <v>125</v>
      </c>
    </row>
    <row r="128" spans="1:1" x14ac:dyDescent="0.2">
      <c r="A128" s="240">
        <v>126</v>
      </c>
    </row>
    <row r="129" spans="1:1" x14ac:dyDescent="0.2">
      <c r="A129" s="240">
        <v>127</v>
      </c>
    </row>
    <row r="130" spans="1:1" x14ac:dyDescent="0.2">
      <c r="A130" s="240">
        <v>128</v>
      </c>
    </row>
    <row r="131" spans="1:1" x14ac:dyDescent="0.2">
      <c r="A131" s="240">
        <v>129</v>
      </c>
    </row>
    <row r="132" spans="1:1" x14ac:dyDescent="0.2">
      <c r="A132" s="240">
        <v>130</v>
      </c>
    </row>
    <row r="133" spans="1:1" x14ac:dyDescent="0.2">
      <c r="A133" s="240">
        <v>131</v>
      </c>
    </row>
    <row r="134" spans="1:1" x14ac:dyDescent="0.2">
      <c r="A134" s="240">
        <v>132</v>
      </c>
    </row>
    <row r="135" spans="1:1" x14ac:dyDescent="0.2">
      <c r="A135" s="240">
        <v>133</v>
      </c>
    </row>
    <row r="136" spans="1:1" x14ac:dyDescent="0.2">
      <c r="A136" s="240">
        <v>134</v>
      </c>
    </row>
    <row r="137" spans="1:1" x14ac:dyDescent="0.2">
      <c r="A137" s="240">
        <v>135</v>
      </c>
    </row>
    <row r="138" spans="1:1" x14ac:dyDescent="0.2">
      <c r="A138" s="240">
        <v>136</v>
      </c>
    </row>
    <row r="139" spans="1:1" x14ac:dyDescent="0.2">
      <c r="A139" s="240">
        <v>137</v>
      </c>
    </row>
    <row r="140" spans="1:1" x14ac:dyDescent="0.2">
      <c r="A140" s="240">
        <v>138</v>
      </c>
    </row>
    <row r="141" spans="1:1" x14ac:dyDescent="0.2">
      <c r="A141" s="240">
        <v>139</v>
      </c>
    </row>
    <row r="142" spans="1:1" x14ac:dyDescent="0.2">
      <c r="A142" s="240">
        <v>140</v>
      </c>
    </row>
    <row r="143" spans="1:1" x14ac:dyDescent="0.2">
      <c r="A143" s="240">
        <v>141</v>
      </c>
    </row>
    <row r="144" spans="1:1" x14ac:dyDescent="0.2">
      <c r="A144" s="240">
        <v>142</v>
      </c>
    </row>
    <row r="145" spans="1:1" x14ac:dyDescent="0.2">
      <c r="A145" s="240">
        <v>143</v>
      </c>
    </row>
    <row r="146" spans="1:1" x14ac:dyDescent="0.2">
      <c r="A146" s="240">
        <v>144</v>
      </c>
    </row>
    <row r="147" spans="1:1" x14ac:dyDescent="0.2">
      <c r="A147" s="240">
        <v>145</v>
      </c>
    </row>
    <row r="148" spans="1:1" x14ac:dyDescent="0.2">
      <c r="A148" s="240">
        <v>146</v>
      </c>
    </row>
    <row r="149" spans="1:1" x14ac:dyDescent="0.2">
      <c r="A149" s="240">
        <v>147</v>
      </c>
    </row>
    <row r="150" spans="1:1" x14ac:dyDescent="0.2">
      <c r="A150" s="240">
        <v>148</v>
      </c>
    </row>
    <row r="151" spans="1:1" x14ac:dyDescent="0.2">
      <c r="A151" s="240">
        <v>149</v>
      </c>
    </row>
    <row r="152" spans="1:1" x14ac:dyDescent="0.2">
      <c r="A152" s="240">
        <v>150</v>
      </c>
    </row>
    <row r="153" spans="1:1" x14ac:dyDescent="0.2">
      <c r="A153" s="240">
        <v>151</v>
      </c>
    </row>
    <row r="154" spans="1:1" x14ac:dyDescent="0.2">
      <c r="A154" s="240">
        <v>152</v>
      </c>
    </row>
    <row r="155" spans="1:1" x14ac:dyDescent="0.2">
      <c r="A155" s="240">
        <v>153</v>
      </c>
    </row>
    <row r="156" spans="1:1" x14ac:dyDescent="0.2">
      <c r="A156" s="240">
        <v>154</v>
      </c>
    </row>
    <row r="157" spans="1:1" x14ac:dyDescent="0.2">
      <c r="A157" s="240">
        <v>155</v>
      </c>
    </row>
    <row r="158" spans="1:1" x14ac:dyDescent="0.2">
      <c r="A158" s="240">
        <v>156</v>
      </c>
    </row>
    <row r="159" spans="1:1" x14ac:dyDescent="0.2">
      <c r="A159" s="240">
        <v>157</v>
      </c>
    </row>
    <row r="160" spans="1:1" x14ac:dyDescent="0.2">
      <c r="A160" s="240">
        <v>158</v>
      </c>
    </row>
    <row r="161" spans="1:1" x14ac:dyDescent="0.2">
      <c r="A161" s="240">
        <v>159</v>
      </c>
    </row>
    <row r="162" spans="1:1" x14ac:dyDescent="0.2">
      <c r="A162" s="240">
        <v>160</v>
      </c>
    </row>
    <row r="163" spans="1:1" x14ac:dyDescent="0.2">
      <c r="A163" s="240">
        <v>161</v>
      </c>
    </row>
    <row r="164" spans="1:1" x14ac:dyDescent="0.2">
      <c r="A164" s="240">
        <v>162</v>
      </c>
    </row>
    <row r="165" spans="1:1" x14ac:dyDescent="0.2">
      <c r="A165" s="240">
        <v>163</v>
      </c>
    </row>
    <row r="166" spans="1:1" x14ac:dyDescent="0.2">
      <c r="A166" s="240">
        <v>164</v>
      </c>
    </row>
    <row r="167" spans="1:1" x14ac:dyDescent="0.2">
      <c r="A167" s="240">
        <v>165</v>
      </c>
    </row>
    <row r="168" spans="1:1" x14ac:dyDescent="0.2">
      <c r="A168" s="240">
        <v>166</v>
      </c>
    </row>
    <row r="169" spans="1:1" x14ac:dyDescent="0.2">
      <c r="A169" s="240">
        <v>167</v>
      </c>
    </row>
    <row r="170" spans="1:1" x14ac:dyDescent="0.2">
      <c r="A170" s="240">
        <v>168</v>
      </c>
    </row>
    <row r="171" spans="1:1" x14ac:dyDescent="0.2">
      <c r="A171" s="240">
        <v>169</v>
      </c>
    </row>
    <row r="172" spans="1:1" x14ac:dyDescent="0.2">
      <c r="A172" s="240">
        <v>170</v>
      </c>
    </row>
    <row r="173" spans="1:1" x14ac:dyDescent="0.2">
      <c r="A173" s="240">
        <v>171</v>
      </c>
    </row>
    <row r="174" spans="1:1" x14ac:dyDescent="0.2">
      <c r="A174" s="240">
        <v>172</v>
      </c>
    </row>
    <row r="175" spans="1:1" x14ac:dyDescent="0.2">
      <c r="A175" s="240">
        <v>173</v>
      </c>
    </row>
    <row r="176" spans="1:1" x14ac:dyDescent="0.2">
      <c r="A176" s="240">
        <v>174</v>
      </c>
    </row>
    <row r="177" spans="1:1" x14ac:dyDescent="0.2">
      <c r="A177" s="240">
        <v>175</v>
      </c>
    </row>
    <row r="178" spans="1:1" x14ac:dyDescent="0.2">
      <c r="A178" s="240">
        <v>176</v>
      </c>
    </row>
    <row r="179" spans="1:1" x14ac:dyDescent="0.2">
      <c r="A179" s="240">
        <v>177</v>
      </c>
    </row>
    <row r="180" spans="1:1" x14ac:dyDescent="0.2">
      <c r="A180" s="240">
        <v>178</v>
      </c>
    </row>
    <row r="181" spans="1:1" x14ac:dyDescent="0.2">
      <c r="A181" s="240">
        <v>179</v>
      </c>
    </row>
    <row r="182" spans="1:1" x14ac:dyDescent="0.2">
      <c r="A182" s="240">
        <v>180</v>
      </c>
    </row>
    <row r="183" spans="1:1" x14ac:dyDescent="0.2">
      <c r="A183" s="240">
        <v>181</v>
      </c>
    </row>
    <row r="184" spans="1:1" x14ac:dyDescent="0.2">
      <c r="A184" s="240">
        <v>182</v>
      </c>
    </row>
    <row r="185" spans="1:1" x14ac:dyDescent="0.2">
      <c r="A185" s="240">
        <v>183</v>
      </c>
    </row>
    <row r="186" spans="1:1" x14ac:dyDescent="0.2">
      <c r="A186" s="240">
        <v>184</v>
      </c>
    </row>
    <row r="187" spans="1:1" x14ac:dyDescent="0.2">
      <c r="A187" s="240">
        <v>185</v>
      </c>
    </row>
    <row r="188" spans="1:1" x14ac:dyDescent="0.2">
      <c r="A188" s="240">
        <v>186</v>
      </c>
    </row>
    <row r="189" spans="1:1" x14ac:dyDescent="0.2">
      <c r="A189" s="240">
        <v>187</v>
      </c>
    </row>
    <row r="190" spans="1:1" x14ac:dyDescent="0.2">
      <c r="A190" s="240">
        <v>188</v>
      </c>
    </row>
    <row r="191" spans="1:1" x14ac:dyDescent="0.2">
      <c r="A191" s="240">
        <v>189</v>
      </c>
    </row>
    <row r="192" spans="1:1" x14ac:dyDescent="0.2">
      <c r="A192" s="240">
        <v>190</v>
      </c>
    </row>
    <row r="193" spans="1:1" x14ac:dyDescent="0.2">
      <c r="A193" s="240">
        <v>191</v>
      </c>
    </row>
    <row r="194" spans="1:1" x14ac:dyDescent="0.2">
      <c r="A194" s="240">
        <v>192</v>
      </c>
    </row>
    <row r="195" spans="1:1" x14ac:dyDescent="0.2">
      <c r="A195" s="240">
        <v>193</v>
      </c>
    </row>
    <row r="196" spans="1:1" x14ac:dyDescent="0.2">
      <c r="A196" s="240">
        <v>194</v>
      </c>
    </row>
    <row r="197" spans="1:1" x14ac:dyDescent="0.2">
      <c r="A197" s="240">
        <v>195</v>
      </c>
    </row>
    <row r="198" spans="1:1" x14ac:dyDescent="0.2">
      <c r="A198" s="240">
        <v>196</v>
      </c>
    </row>
    <row r="199" spans="1:1" x14ac:dyDescent="0.2">
      <c r="A199" s="240">
        <v>197</v>
      </c>
    </row>
    <row r="200" spans="1:1" x14ac:dyDescent="0.2">
      <c r="A200" s="240">
        <v>198</v>
      </c>
    </row>
    <row r="201" spans="1:1" x14ac:dyDescent="0.2">
      <c r="A201" s="240">
        <v>199</v>
      </c>
    </row>
    <row r="202" spans="1:1" x14ac:dyDescent="0.2">
      <c r="A202" s="240">
        <v>200</v>
      </c>
    </row>
    <row r="203" spans="1:1" x14ac:dyDescent="0.2">
      <c r="A203" s="240">
        <v>201</v>
      </c>
    </row>
    <row r="204" spans="1:1" x14ac:dyDescent="0.2">
      <c r="A204" s="240">
        <v>202</v>
      </c>
    </row>
    <row r="205" spans="1:1" x14ac:dyDescent="0.2">
      <c r="A205" s="240">
        <v>203</v>
      </c>
    </row>
    <row r="206" spans="1:1" x14ac:dyDescent="0.2">
      <c r="A206" s="240">
        <v>204</v>
      </c>
    </row>
    <row r="207" spans="1:1" x14ac:dyDescent="0.2">
      <c r="A207" s="240">
        <v>205</v>
      </c>
    </row>
    <row r="208" spans="1:1" x14ac:dyDescent="0.2">
      <c r="A208" s="240">
        <v>206</v>
      </c>
    </row>
    <row r="209" spans="1:1" x14ac:dyDescent="0.2">
      <c r="A209" s="240">
        <v>207</v>
      </c>
    </row>
    <row r="210" spans="1:1" x14ac:dyDescent="0.2">
      <c r="A210" s="240">
        <v>208</v>
      </c>
    </row>
    <row r="211" spans="1:1" x14ac:dyDescent="0.2">
      <c r="A211" s="240">
        <v>209</v>
      </c>
    </row>
    <row r="212" spans="1:1" x14ac:dyDescent="0.2">
      <c r="A212" s="240">
        <v>210</v>
      </c>
    </row>
    <row r="213" spans="1:1" x14ac:dyDescent="0.2">
      <c r="A213" s="240">
        <v>211</v>
      </c>
    </row>
    <row r="214" spans="1:1" x14ac:dyDescent="0.2">
      <c r="A214" s="240">
        <v>212</v>
      </c>
    </row>
    <row r="215" spans="1:1" x14ac:dyDescent="0.2">
      <c r="A215" s="240">
        <v>213</v>
      </c>
    </row>
    <row r="216" spans="1:1" x14ac:dyDescent="0.2">
      <c r="A216" s="240">
        <v>214</v>
      </c>
    </row>
    <row r="217" spans="1:1" x14ac:dyDescent="0.2">
      <c r="A217" s="240">
        <v>215</v>
      </c>
    </row>
    <row r="218" spans="1:1" x14ac:dyDescent="0.2">
      <c r="A218" s="240">
        <v>216</v>
      </c>
    </row>
    <row r="219" spans="1:1" x14ac:dyDescent="0.2">
      <c r="A219" s="240">
        <v>217</v>
      </c>
    </row>
    <row r="220" spans="1:1" x14ac:dyDescent="0.2">
      <c r="A220" s="240">
        <v>218</v>
      </c>
    </row>
    <row r="221" spans="1:1" x14ac:dyDescent="0.2">
      <c r="A221" s="240">
        <v>219</v>
      </c>
    </row>
    <row r="222" spans="1:1" x14ac:dyDescent="0.2">
      <c r="A222" s="240">
        <v>220</v>
      </c>
    </row>
    <row r="223" spans="1:1" x14ac:dyDescent="0.2">
      <c r="A223" s="240">
        <v>221</v>
      </c>
    </row>
    <row r="224" spans="1:1" x14ac:dyDescent="0.2">
      <c r="A224" s="240">
        <v>222</v>
      </c>
    </row>
    <row r="225" spans="1:1" x14ac:dyDescent="0.2">
      <c r="A225" s="240">
        <v>223</v>
      </c>
    </row>
    <row r="226" spans="1:1" x14ac:dyDescent="0.2">
      <c r="A226" s="240">
        <v>224</v>
      </c>
    </row>
    <row r="227" spans="1:1" x14ac:dyDescent="0.2">
      <c r="A227" s="240">
        <v>225</v>
      </c>
    </row>
    <row r="228" spans="1:1" x14ac:dyDescent="0.2">
      <c r="A228" s="240">
        <v>226</v>
      </c>
    </row>
    <row r="229" spans="1:1" x14ac:dyDescent="0.2">
      <c r="A229" s="240">
        <v>227</v>
      </c>
    </row>
    <row r="230" spans="1:1" x14ac:dyDescent="0.2">
      <c r="A230" s="240">
        <v>228</v>
      </c>
    </row>
    <row r="231" spans="1:1" x14ac:dyDescent="0.2">
      <c r="A231" s="240">
        <v>229</v>
      </c>
    </row>
    <row r="232" spans="1:1" x14ac:dyDescent="0.2">
      <c r="A232" s="240">
        <v>230</v>
      </c>
    </row>
    <row r="233" spans="1:1" x14ac:dyDescent="0.2">
      <c r="A233" s="240">
        <v>231</v>
      </c>
    </row>
    <row r="234" spans="1:1" x14ac:dyDescent="0.2">
      <c r="A234" s="240">
        <v>232</v>
      </c>
    </row>
    <row r="235" spans="1:1" x14ac:dyDescent="0.2">
      <c r="A235" s="240">
        <v>233</v>
      </c>
    </row>
    <row r="236" spans="1:1" x14ac:dyDescent="0.2">
      <c r="A236" s="240">
        <v>234</v>
      </c>
    </row>
    <row r="237" spans="1:1" x14ac:dyDescent="0.2">
      <c r="A237" s="240">
        <v>235</v>
      </c>
    </row>
    <row r="238" spans="1:1" x14ac:dyDescent="0.2">
      <c r="A238" s="240">
        <v>236</v>
      </c>
    </row>
    <row r="239" spans="1:1" x14ac:dyDescent="0.2">
      <c r="A239" s="240">
        <v>237</v>
      </c>
    </row>
    <row r="240" spans="1:1" x14ac:dyDescent="0.2">
      <c r="A240" s="240">
        <v>238</v>
      </c>
    </row>
    <row r="241" spans="1:1" x14ac:dyDescent="0.2">
      <c r="A241" s="240">
        <v>239</v>
      </c>
    </row>
    <row r="242" spans="1:1" x14ac:dyDescent="0.2">
      <c r="A242" s="240">
        <v>240</v>
      </c>
    </row>
    <row r="243" spans="1:1" x14ac:dyDescent="0.2">
      <c r="A243" s="240">
        <v>241</v>
      </c>
    </row>
    <row r="244" spans="1:1" x14ac:dyDescent="0.2">
      <c r="A244" s="240">
        <v>242</v>
      </c>
    </row>
    <row r="245" spans="1:1" x14ac:dyDescent="0.2">
      <c r="A245" s="240">
        <v>243</v>
      </c>
    </row>
    <row r="246" spans="1:1" x14ac:dyDescent="0.2">
      <c r="A246" s="240">
        <v>244</v>
      </c>
    </row>
    <row r="247" spans="1:1" x14ac:dyDescent="0.2">
      <c r="A247" s="240">
        <v>245</v>
      </c>
    </row>
    <row r="248" spans="1:1" x14ac:dyDescent="0.2">
      <c r="A248" s="240">
        <v>246</v>
      </c>
    </row>
    <row r="249" spans="1:1" x14ac:dyDescent="0.2">
      <c r="A249" s="240">
        <v>247</v>
      </c>
    </row>
    <row r="250" spans="1:1" x14ac:dyDescent="0.2">
      <c r="A250" s="240">
        <v>248</v>
      </c>
    </row>
    <row r="251" spans="1:1" x14ac:dyDescent="0.2">
      <c r="A251" s="240">
        <v>249</v>
      </c>
    </row>
    <row r="252" spans="1:1" x14ac:dyDescent="0.2">
      <c r="A252" s="240">
        <v>250</v>
      </c>
    </row>
    <row r="253" spans="1:1" x14ac:dyDescent="0.2">
      <c r="A253" s="240">
        <v>251</v>
      </c>
    </row>
    <row r="254" spans="1:1" x14ac:dyDescent="0.2">
      <c r="A254" s="240">
        <v>252</v>
      </c>
    </row>
    <row r="255" spans="1:1" x14ac:dyDescent="0.2">
      <c r="A255" s="240">
        <v>253</v>
      </c>
    </row>
    <row r="256" spans="1:1" x14ac:dyDescent="0.2">
      <c r="A256" s="240">
        <v>254</v>
      </c>
    </row>
    <row r="257" spans="1:1" x14ac:dyDescent="0.2">
      <c r="A257" s="240">
        <v>255</v>
      </c>
    </row>
    <row r="258" spans="1:1" x14ac:dyDescent="0.2">
      <c r="A258" s="240">
        <v>256</v>
      </c>
    </row>
    <row r="259" spans="1:1" x14ac:dyDescent="0.2">
      <c r="A259" s="240">
        <v>257</v>
      </c>
    </row>
    <row r="260" spans="1:1" x14ac:dyDescent="0.2">
      <c r="A260" s="240">
        <v>258</v>
      </c>
    </row>
    <row r="261" spans="1:1" x14ac:dyDescent="0.2">
      <c r="A261" s="240">
        <v>259</v>
      </c>
    </row>
    <row r="262" spans="1:1" x14ac:dyDescent="0.2">
      <c r="A262" s="240">
        <v>260</v>
      </c>
    </row>
    <row r="263" spans="1:1" x14ac:dyDescent="0.2">
      <c r="A263" s="240">
        <v>261</v>
      </c>
    </row>
    <row r="264" spans="1:1" x14ac:dyDescent="0.2">
      <c r="A264" s="240">
        <v>262</v>
      </c>
    </row>
    <row r="265" spans="1:1" x14ac:dyDescent="0.2">
      <c r="A265" s="240">
        <v>263</v>
      </c>
    </row>
    <row r="266" spans="1:1" x14ac:dyDescent="0.2">
      <c r="A266" s="240">
        <v>264</v>
      </c>
    </row>
    <row r="267" spans="1:1" x14ac:dyDescent="0.2">
      <c r="A267" s="240">
        <v>265</v>
      </c>
    </row>
    <row r="268" spans="1:1" x14ac:dyDescent="0.2">
      <c r="A268" s="240">
        <v>266</v>
      </c>
    </row>
    <row r="269" spans="1:1" x14ac:dyDescent="0.2">
      <c r="A269" s="240">
        <v>267</v>
      </c>
    </row>
    <row r="270" spans="1:1" x14ac:dyDescent="0.2">
      <c r="A270" s="240">
        <v>268</v>
      </c>
    </row>
    <row r="271" spans="1:1" x14ac:dyDescent="0.2">
      <c r="A271" s="240">
        <v>269</v>
      </c>
    </row>
    <row r="272" spans="1:1" x14ac:dyDescent="0.2">
      <c r="A272" s="240">
        <v>270</v>
      </c>
    </row>
    <row r="273" spans="1:1" x14ac:dyDescent="0.2">
      <c r="A273" s="240">
        <v>271</v>
      </c>
    </row>
    <row r="274" spans="1:1" x14ac:dyDescent="0.2">
      <c r="A274" s="240">
        <v>272</v>
      </c>
    </row>
    <row r="275" spans="1:1" x14ac:dyDescent="0.2">
      <c r="A275" s="240">
        <v>273</v>
      </c>
    </row>
    <row r="276" spans="1:1" x14ac:dyDescent="0.2">
      <c r="A276" s="240">
        <v>274</v>
      </c>
    </row>
    <row r="277" spans="1:1" x14ac:dyDescent="0.2">
      <c r="A277" s="240">
        <v>275</v>
      </c>
    </row>
    <row r="278" spans="1:1" x14ac:dyDescent="0.2">
      <c r="A278" s="240">
        <v>276</v>
      </c>
    </row>
    <row r="279" spans="1:1" x14ac:dyDescent="0.2">
      <c r="A279" s="240">
        <v>277</v>
      </c>
    </row>
    <row r="280" spans="1:1" x14ac:dyDescent="0.2">
      <c r="A280" s="240">
        <v>278</v>
      </c>
    </row>
    <row r="281" spans="1:1" x14ac:dyDescent="0.2">
      <c r="A281" s="240">
        <v>279</v>
      </c>
    </row>
    <row r="282" spans="1:1" x14ac:dyDescent="0.2">
      <c r="A282" s="240">
        <v>280</v>
      </c>
    </row>
    <row r="283" spans="1:1" x14ac:dyDescent="0.2">
      <c r="A283" s="240">
        <v>281</v>
      </c>
    </row>
    <row r="284" spans="1:1" x14ac:dyDescent="0.2">
      <c r="A284" s="240">
        <v>282</v>
      </c>
    </row>
    <row r="285" spans="1:1" x14ac:dyDescent="0.2">
      <c r="A285" s="240">
        <v>283</v>
      </c>
    </row>
    <row r="286" spans="1:1" x14ac:dyDescent="0.2">
      <c r="A286" s="240">
        <v>284</v>
      </c>
    </row>
    <row r="287" spans="1:1" x14ac:dyDescent="0.2">
      <c r="A287" s="240">
        <v>285</v>
      </c>
    </row>
    <row r="288" spans="1:1" x14ac:dyDescent="0.2">
      <c r="A288" s="240">
        <v>286</v>
      </c>
    </row>
    <row r="289" spans="1:1" x14ac:dyDescent="0.2">
      <c r="A289" s="240">
        <v>287</v>
      </c>
    </row>
    <row r="290" spans="1:1" x14ac:dyDescent="0.2">
      <c r="A290" s="240">
        <v>288</v>
      </c>
    </row>
    <row r="291" spans="1:1" x14ac:dyDescent="0.2">
      <c r="A291" s="240">
        <v>289</v>
      </c>
    </row>
    <row r="292" spans="1:1" x14ac:dyDescent="0.2">
      <c r="A292" s="240">
        <v>290</v>
      </c>
    </row>
    <row r="293" spans="1:1" x14ac:dyDescent="0.2">
      <c r="A293" s="240">
        <v>291</v>
      </c>
    </row>
    <row r="294" spans="1:1" x14ac:dyDescent="0.2">
      <c r="A294" s="240">
        <v>292</v>
      </c>
    </row>
    <row r="295" spans="1:1" x14ac:dyDescent="0.2">
      <c r="A295" s="240">
        <v>293</v>
      </c>
    </row>
    <row r="296" spans="1:1" x14ac:dyDescent="0.2">
      <c r="A296" s="240">
        <v>294</v>
      </c>
    </row>
    <row r="297" spans="1:1" x14ac:dyDescent="0.2">
      <c r="A297" s="240">
        <v>295</v>
      </c>
    </row>
    <row r="298" spans="1:1" x14ac:dyDescent="0.2">
      <c r="A298" s="240">
        <v>296</v>
      </c>
    </row>
    <row r="299" spans="1:1" x14ac:dyDescent="0.2">
      <c r="A299" s="240">
        <v>297</v>
      </c>
    </row>
    <row r="300" spans="1:1" x14ac:dyDescent="0.2">
      <c r="A300" s="240">
        <v>298</v>
      </c>
    </row>
    <row r="301" spans="1:1" x14ac:dyDescent="0.2">
      <c r="A301" s="240">
        <v>299</v>
      </c>
    </row>
    <row r="302" spans="1:1" x14ac:dyDescent="0.2">
      <c r="A302" s="240">
        <v>300</v>
      </c>
    </row>
    <row r="303" spans="1:1" x14ac:dyDescent="0.2">
      <c r="A303" s="240">
        <v>301</v>
      </c>
    </row>
    <row r="304" spans="1:1" x14ac:dyDescent="0.2">
      <c r="A304" s="240">
        <v>302</v>
      </c>
    </row>
    <row r="305" spans="1:1" x14ac:dyDescent="0.2">
      <c r="A305" s="240">
        <v>303</v>
      </c>
    </row>
    <row r="306" spans="1:1" x14ac:dyDescent="0.2">
      <c r="A306" s="240">
        <v>304</v>
      </c>
    </row>
    <row r="307" spans="1:1" x14ac:dyDescent="0.2">
      <c r="A307" s="240">
        <v>305</v>
      </c>
    </row>
    <row r="308" spans="1:1" x14ac:dyDescent="0.2">
      <c r="A308" s="240">
        <v>306</v>
      </c>
    </row>
    <row r="309" spans="1:1" x14ac:dyDescent="0.2">
      <c r="A309" s="240">
        <v>307</v>
      </c>
    </row>
    <row r="310" spans="1:1" x14ac:dyDescent="0.2">
      <c r="A310" s="240">
        <v>308</v>
      </c>
    </row>
    <row r="311" spans="1:1" x14ac:dyDescent="0.2">
      <c r="A311" s="240">
        <v>309</v>
      </c>
    </row>
    <row r="312" spans="1:1" x14ac:dyDescent="0.2">
      <c r="A312" s="240">
        <v>310</v>
      </c>
    </row>
    <row r="313" spans="1:1" x14ac:dyDescent="0.2">
      <c r="A313" s="240">
        <v>311</v>
      </c>
    </row>
    <row r="314" spans="1:1" x14ac:dyDescent="0.2">
      <c r="A314" s="240">
        <v>312</v>
      </c>
    </row>
    <row r="315" spans="1:1" x14ac:dyDescent="0.2">
      <c r="A315" s="240">
        <v>313</v>
      </c>
    </row>
    <row r="316" spans="1:1" x14ac:dyDescent="0.2">
      <c r="A316" s="240">
        <v>314</v>
      </c>
    </row>
    <row r="317" spans="1:1" x14ac:dyDescent="0.2">
      <c r="A317" s="240">
        <v>315</v>
      </c>
    </row>
    <row r="318" spans="1:1" x14ac:dyDescent="0.2">
      <c r="A318" s="240">
        <v>316</v>
      </c>
    </row>
    <row r="319" spans="1:1" x14ac:dyDescent="0.2">
      <c r="A319" s="240">
        <v>317</v>
      </c>
    </row>
    <row r="320" spans="1:1" x14ac:dyDescent="0.2">
      <c r="A320" s="240">
        <v>318</v>
      </c>
    </row>
    <row r="321" spans="1:1" x14ac:dyDescent="0.2">
      <c r="A321" s="240">
        <v>319</v>
      </c>
    </row>
    <row r="322" spans="1:1" x14ac:dyDescent="0.2">
      <c r="A322" s="240">
        <v>320</v>
      </c>
    </row>
    <row r="323" spans="1:1" x14ac:dyDescent="0.2">
      <c r="A323" s="240">
        <v>321</v>
      </c>
    </row>
    <row r="324" spans="1:1" x14ac:dyDescent="0.2">
      <c r="A324" s="240">
        <v>322</v>
      </c>
    </row>
    <row r="325" spans="1:1" x14ac:dyDescent="0.2">
      <c r="A325" s="240">
        <v>323</v>
      </c>
    </row>
    <row r="326" spans="1:1" x14ac:dyDescent="0.2">
      <c r="A326" s="240">
        <v>324</v>
      </c>
    </row>
    <row r="327" spans="1:1" x14ac:dyDescent="0.2">
      <c r="A327" s="240">
        <v>325</v>
      </c>
    </row>
    <row r="328" spans="1:1" x14ac:dyDescent="0.2">
      <c r="A328" s="240">
        <v>326</v>
      </c>
    </row>
    <row r="329" spans="1:1" x14ac:dyDescent="0.2">
      <c r="A329" s="240">
        <v>327</v>
      </c>
    </row>
    <row r="330" spans="1:1" x14ac:dyDescent="0.2">
      <c r="A330" s="240">
        <v>328</v>
      </c>
    </row>
    <row r="331" spans="1:1" x14ac:dyDescent="0.2">
      <c r="A331" s="240">
        <v>329</v>
      </c>
    </row>
    <row r="332" spans="1:1" x14ac:dyDescent="0.2">
      <c r="A332" s="240">
        <v>330</v>
      </c>
    </row>
    <row r="333" spans="1:1" x14ac:dyDescent="0.2">
      <c r="A333" s="240">
        <v>331</v>
      </c>
    </row>
    <row r="334" spans="1:1" x14ac:dyDescent="0.2">
      <c r="A334" s="240">
        <v>332</v>
      </c>
    </row>
    <row r="335" spans="1:1" x14ac:dyDescent="0.2">
      <c r="A335" s="240">
        <v>333</v>
      </c>
    </row>
    <row r="336" spans="1:1" x14ac:dyDescent="0.2">
      <c r="A336" s="240">
        <v>334</v>
      </c>
    </row>
    <row r="337" spans="1:1" x14ac:dyDescent="0.2">
      <c r="A337" s="240">
        <v>335</v>
      </c>
    </row>
    <row r="338" spans="1:1" x14ac:dyDescent="0.2">
      <c r="A338" s="240">
        <v>336</v>
      </c>
    </row>
    <row r="339" spans="1:1" x14ac:dyDescent="0.2">
      <c r="A339" s="240">
        <v>337</v>
      </c>
    </row>
    <row r="340" spans="1:1" x14ac:dyDescent="0.2">
      <c r="A340" s="240">
        <v>338</v>
      </c>
    </row>
    <row r="341" spans="1:1" x14ac:dyDescent="0.2">
      <c r="A341" s="240">
        <v>339</v>
      </c>
    </row>
    <row r="342" spans="1:1" x14ac:dyDescent="0.2">
      <c r="A342" s="240">
        <v>340</v>
      </c>
    </row>
    <row r="343" spans="1:1" x14ac:dyDescent="0.2">
      <c r="A343" s="240">
        <v>341</v>
      </c>
    </row>
    <row r="344" spans="1:1" x14ac:dyDescent="0.2">
      <c r="A344" s="240">
        <v>342</v>
      </c>
    </row>
    <row r="345" spans="1:1" x14ac:dyDescent="0.2">
      <c r="A345" s="240">
        <v>343</v>
      </c>
    </row>
    <row r="346" spans="1:1" x14ac:dyDescent="0.2">
      <c r="A346" s="240">
        <v>344</v>
      </c>
    </row>
    <row r="347" spans="1:1" x14ac:dyDescent="0.2">
      <c r="A347" s="240">
        <v>345</v>
      </c>
    </row>
    <row r="348" spans="1:1" x14ac:dyDescent="0.2">
      <c r="A348" s="240">
        <v>346</v>
      </c>
    </row>
    <row r="349" spans="1:1" x14ac:dyDescent="0.2">
      <c r="A349" s="240">
        <v>347</v>
      </c>
    </row>
    <row r="350" spans="1:1" x14ac:dyDescent="0.2">
      <c r="A350" s="240">
        <v>348</v>
      </c>
    </row>
    <row r="351" spans="1:1" x14ac:dyDescent="0.2">
      <c r="A351" s="240">
        <v>349</v>
      </c>
    </row>
    <row r="352" spans="1:1" x14ac:dyDescent="0.2">
      <c r="A352" s="240">
        <v>350</v>
      </c>
    </row>
    <row r="353" spans="1:1" x14ac:dyDescent="0.2">
      <c r="A353" s="240">
        <v>351</v>
      </c>
    </row>
    <row r="354" spans="1:1" x14ac:dyDescent="0.2">
      <c r="A354" s="240">
        <v>352</v>
      </c>
    </row>
    <row r="355" spans="1:1" x14ac:dyDescent="0.2">
      <c r="A355" s="240">
        <v>353</v>
      </c>
    </row>
    <row r="356" spans="1:1" x14ac:dyDescent="0.2">
      <c r="A356" s="240">
        <v>354</v>
      </c>
    </row>
    <row r="357" spans="1:1" x14ac:dyDescent="0.2">
      <c r="A357" s="240">
        <v>355</v>
      </c>
    </row>
    <row r="358" spans="1:1" x14ac:dyDescent="0.2">
      <c r="A358" s="240">
        <v>356</v>
      </c>
    </row>
    <row r="359" spans="1:1" x14ac:dyDescent="0.2">
      <c r="A359" s="240">
        <v>357</v>
      </c>
    </row>
    <row r="360" spans="1:1" x14ac:dyDescent="0.2">
      <c r="A360" s="240">
        <v>358</v>
      </c>
    </row>
    <row r="361" spans="1:1" x14ac:dyDescent="0.2">
      <c r="A361" s="240">
        <v>359</v>
      </c>
    </row>
    <row r="362" spans="1:1" x14ac:dyDescent="0.2">
      <c r="A362" s="240">
        <v>360</v>
      </c>
    </row>
    <row r="363" spans="1:1" x14ac:dyDescent="0.2">
      <c r="A363" s="240">
        <v>361</v>
      </c>
    </row>
    <row r="364" spans="1:1" x14ac:dyDescent="0.2">
      <c r="A364" s="240">
        <v>362</v>
      </c>
    </row>
    <row r="365" spans="1:1" x14ac:dyDescent="0.2">
      <c r="A365" s="240">
        <v>363</v>
      </c>
    </row>
    <row r="366" spans="1:1" x14ac:dyDescent="0.2">
      <c r="A366" s="240">
        <v>364</v>
      </c>
    </row>
    <row r="367" spans="1:1" x14ac:dyDescent="0.2">
      <c r="A367" s="240">
        <v>365</v>
      </c>
    </row>
    <row r="368" spans="1:1" x14ac:dyDescent="0.2">
      <c r="A368" s="240">
        <v>366</v>
      </c>
    </row>
    <row r="369" spans="1:1" x14ac:dyDescent="0.2">
      <c r="A369" s="240">
        <v>367</v>
      </c>
    </row>
    <row r="370" spans="1:1" x14ac:dyDescent="0.2">
      <c r="A370" s="240">
        <v>368</v>
      </c>
    </row>
    <row r="371" spans="1:1" x14ac:dyDescent="0.2">
      <c r="A371" s="240">
        <v>369</v>
      </c>
    </row>
    <row r="372" spans="1:1" x14ac:dyDescent="0.2">
      <c r="A372" s="240">
        <v>370</v>
      </c>
    </row>
    <row r="373" spans="1:1" x14ac:dyDescent="0.2">
      <c r="A373" s="240">
        <v>371</v>
      </c>
    </row>
    <row r="374" spans="1:1" x14ac:dyDescent="0.2">
      <c r="A374" s="240">
        <v>372</v>
      </c>
    </row>
    <row r="375" spans="1:1" x14ac:dyDescent="0.2">
      <c r="A375" s="240">
        <v>373</v>
      </c>
    </row>
    <row r="376" spans="1:1" x14ac:dyDescent="0.2">
      <c r="A376" s="240">
        <v>374</v>
      </c>
    </row>
    <row r="377" spans="1:1" x14ac:dyDescent="0.2">
      <c r="A377" s="240">
        <v>375</v>
      </c>
    </row>
    <row r="378" spans="1:1" x14ac:dyDescent="0.2">
      <c r="A378" s="240">
        <v>376</v>
      </c>
    </row>
    <row r="379" spans="1:1" x14ac:dyDescent="0.2">
      <c r="A379" s="240">
        <v>377</v>
      </c>
    </row>
    <row r="380" spans="1:1" x14ac:dyDescent="0.2">
      <c r="A380" s="240">
        <v>378</v>
      </c>
    </row>
    <row r="381" spans="1:1" x14ac:dyDescent="0.2">
      <c r="A381" s="240">
        <v>379</v>
      </c>
    </row>
    <row r="382" spans="1:1" x14ac:dyDescent="0.2">
      <c r="A382" s="240">
        <v>380</v>
      </c>
    </row>
    <row r="383" spans="1:1" x14ac:dyDescent="0.2">
      <c r="A383" s="240">
        <v>381</v>
      </c>
    </row>
    <row r="384" spans="1:1" x14ac:dyDescent="0.2">
      <c r="A384" s="240">
        <v>382</v>
      </c>
    </row>
    <row r="385" spans="1:1" x14ac:dyDescent="0.2">
      <c r="A385" s="240">
        <v>383</v>
      </c>
    </row>
    <row r="386" spans="1:1" x14ac:dyDescent="0.2">
      <c r="A386" s="240">
        <v>384</v>
      </c>
    </row>
    <row r="387" spans="1:1" x14ac:dyDescent="0.2">
      <c r="A387" s="240">
        <v>385</v>
      </c>
    </row>
    <row r="388" spans="1:1" x14ac:dyDescent="0.2">
      <c r="A388" s="240">
        <v>386</v>
      </c>
    </row>
    <row r="389" spans="1:1" x14ac:dyDescent="0.2">
      <c r="A389" s="240">
        <v>387</v>
      </c>
    </row>
    <row r="390" spans="1:1" x14ac:dyDescent="0.2">
      <c r="A390" s="240">
        <v>388</v>
      </c>
    </row>
    <row r="391" spans="1:1" x14ac:dyDescent="0.2">
      <c r="A391" s="240">
        <v>389</v>
      </c>
    </row>
    <row r="392" spans="1:1" x14ac:dyDescent="0.2">
      <c r="A392" s="240">
        <v>390</v>
      </c>
    </row>
    <row r="393" spans="1:1" x14ac:dyDescent="0.2">
      <c r="A393" s="240">
        <v>391</v>
      </c>
    </row>
    <row r="394" spans="1:1" x14ac:dyDescent="0.2">
      <c r="A394" s="240">
        <v>392</v>
      </c>
    </row>
    <row r="395" spans="1:1" x14ac:dyDescent="0.2">
      <c r="A395" s="240">
        <v>393</v>
      </c>
    </row>
    <row r="396" spans="1:1" x14ac:dyDescent="0.2">
      <c r="A396" s="240">
        <v>394</v>
      </c>
    </row>
    <row r="397" spans="1:1" x14ac:dyDescent="0.2">
      <c r="A397" s="240">
        <v>395</v>
      </c>
    </row>
    <row r="398" spans="1:1" x14ac:dyDescent="0.2">
      <c r="A398" s="240">
        <v>396</v>
      </c>
    </row>
    <row r="399" spans="1:1" x14ac:dyDescent="0.2">
      <c r="A399" s="240">
        <v>397</v>
      </c>
    </row>
    <row r="400" spans="1:1" x14ac:dyDescent="0.2">
      <c r="A400" s="240">
        <v>398</v>
      </c>
    </row>
    <row r="401" spans="1:1" x14ac:dyDescent="0.2">
      <c r="A401" s="240">
        <v>399</v>
      </c>
    </row>
    <row r="402" spans="1:1" x14ac:dyDescent="0.2">
      <c r="A402" s="240">
        <v>400</v>
      </c>
    </row>
    <row r="403" spans="1:1" x14ac:dyDescent="0.2">
      <c r="A403" s="240">
        <v>401</v>
      </c>
    </row>
    <row r="404" spans="1:1" x14ac:dyDescent="0.2">
      <c r="A404" s="240">
        <v>402</v>
      </c>
    </row>
    <row r="405" spans="1:1" x14ac:dyDescent="0.2">
      <c r="A405" s="240">
        <v>403</v>
      </c>
    </row>
    <row r="406" spans="1:1" x14ac:dyDescent="0.2">
      <c r="A406" s="240">
        <v>404</v>
      </c>
    </row>
    <row r="407" spans="1:1" x14ac:dyDescent="0.2">
      <c r="A407" s="240">
        <v>405</v>
      </c>
    </row>
    <row r="408" spans="1:1" x14ac:dyDescent="0.2">
      <c r="A408" s="240">
        <v>406</v>
      </c>
    </row>
    <row r="409" spans="1:1" x14ac:dyDescent="0.2">
      <c r="A409" s="240">
        <v>407</v>
      </c>
    </row>
    <row r="410" spans="1:1" x14ac:dyDescent="0.2">
      <c r="A410" s="240">
        <v>408</v>
      </c>
    </row>
    <row r="411" spans="1:1" x14ac:dyDescent="0.2">
      <c r="A411" s="240">
        <v>409</v>
      </c>
    </row>
    <row r="412" spans="1:1" x14ac:dyDescent="0.2">
      <c r="A412" s="240">
        <v>410</v>
      </c>
    </row>
    <row r="413" spans="1:1" x14ac:dyDescent="0.2">
      <c r="A413" s="240">
        <v>411</v>
      </c>
    </row>
    <row r="414" spans="1:1" x14ac:dyDescent="0.2">
      <c r="A414" s="240">
        <v>412</v>
      </c>
    </row>
    <row r="415" spans="1:1" x14ac:dyDescent="0.2">
      <c r="A415" s="240">
        <v>413</v>
      </c>
    </row>
    <row r="416" spans="1:1" x14ac:dyDescent="0.2">
      <c r="A416" s="240">
        <v>414</v>
      </c>
    </row>
    <row r="417" spans="1:1" x14ac:dyDescent="0.2">
      <c r="A417" s="240">
        <v>415</v>
      </c>
    </row>
    <row r="418" spans="1:1" x14ac:dyDescent="0.2">
      <c r="A418" s="240">
        <v>416</v>
      </c>
    </row>
    <row r="419" spans="1:1" x14ac:dyDescent="0.2">
      <c r="A419" s="240">
        <v>417</v>
      </c>
    </row>
    <row r="420" spans="1:1" x14ac:dyDescent="0.2">
      <c r="A420" s="240">
        <v>418</v>
      </c>
    </row>
    <row r="421" spans="1:1" x14ac:dyDescent="0.2">
      <c r="A421" s="240">
        <v>419</v>
      </c>
    </row>
    <row r="422" spans="1:1" x14ac:dyDescent="0.2">
      <c r="A422" s="240">
        <v>420</v>
      </c>
    </row>
    <row r="423" spans="1:1" x14ac:dyDescent="0.2">
      <c r="A423" s="240">
        <v>421</v>
      </c>
    </row>
    <row r="424" spans="1:1" x14ac:dyDescent="0.2">
      <c r="A424" s="240">
        <v>422</v>
      </c>
    </row>
    <row r="425" spans="1:1" x14ac:dyDescent="0.2">
      <c r="A425" s="240">
        <v>423</v>
      </c>
    </row>
    <row r="426" spans="1:1" x14ac:dyDescent="0.2">
      <c r="A426" s="240">
        <v>424</v>
      </c>
    </row>
    <row r="427" spans="1:1" x14ac:dyDescent="0.2">
      <c r="A427" s="240">
        <v>425</v>
      </c>
    </row>
    <row r="428" spans="1:1" x14ac:dyDescent="0.2">
      <c r="A428" s="240">
        <v>426</v>
      </c>
    </row>
    <row r="429" spans="1:1" x14ac:dyDescent="0.2">
      <c r="A429" s="240">
        <v>427</v>
      </c>
    </row>
    <row r="430" spans="1:1" x14ac:dyDescent="0.2">
      <c r="A430" s="240">
        <v>428</v>
      </c>
    </row>
    <row r="431" spans="1:1" x14ac:dyDescent="0.2">
      <c r="A431" s="240">
        <v>429</v>
      </c>
    </row>
    <row r="432" spans="1:1" x14ac:dyDescent="0.2">
      <c r="A432" s="240">
        <v>430</v>
      </c>
    </row>
    <row r="433" spans="1:1" x14ac:dyDescent="0.2">
      <c r="A433" s="240">
        <v>431</v>
      </c>
    </row>
    <row r="434" spans="1:1" x14ac:dyDescent="0.2">
      <c r="A434" s="240">
        <v>432</v>
      </c>
    </row>
    <row r="435" spans="1:1" x14ac:dyDescent="0.2">
      <c r="A435" s="240">
        <v>433</v>
      </c>
    </row>
    <row r="436" spans="1:1" x14ac:dyDescent="0.2">
      <c r="A436" s="240">
        <v>434</v>
      </c>
    </row>
    <row r="437" spans="1:1" x14ac:dyDescent="0.2">
      <c r="A437" s="240">
        <v>435</v>
      </c>
    </row>
    <row r="438" spans="1:1" x14ac:dyDescent="0.2">
      <c r="A438" s="240">
        <v>436</v>
      </c>
    </row>
    <row r="439" spans="1:1" x14ac:dyDescent="0.2">
      <c r="A439" s="240">
        <v>437</v>
      </c>
    </row>
    <row r="440" spans="1:1" x14ac:dyDescent="0.2">
      <c r="A440" s="240">
        <v>438</v>
      </c>
    </row>
    <row r="441" spans="1:1" x14ac:dyDescent="0.2">
      <c r="A441" s="240">
        <v>439</v>
      </c>
    </row>
    <row r="442" spans="1:1" x14ac:dyDescent="0.2">
      <c r="A442" s="240">
        <v>440</v>
      </c>
    </row>
    <row r="443" spans="1:1" x14ac:dyDescent="0.2">
      <c r="A443" s="240">
        <v>441</v>
      </c>
    </row>
    <row r="444" spans="1:1" x14ac:dyDescent="0.2">
      <c r="A444" s="240">
        <v>442</v>
      </c>
    </row>
    <row r="445" spans="1:1" x14ac:dyDescent="0.2">
      <c r="A445" s="240">
        <v>443</v>
      </c>
    </row>
    <row r="446" spans="1:1" x14ac:dyDescent="0.2">
      <c r="A446" s="240">
        <v>444</v>
      </c>
    </row>
    <row r="447" spans="1:1" x14ac:dyDescent="0.2">
      <c r="A447" s="240">
        <v>445</v>
      </c>
    </row>
    <row r="448" spans="1:1" x14ac:dyDescent="0.2">
      <c r="A448" s="240">
        <v>446</v>
      </c>
    </row>
    <row r="449" spans="1:1" x14ac:dyDescent="0.2">
      <c r="A449" s="240">
        <v>447</v>
      </c>
    </row>
    <row r="450" spans="1:1" x14ac:dyDescent="0.2">
      <c r="A450" s="240">
        <v>448</v>
      </c>
    </row>
    <row r="451" spans="1:1" x14ac:dyDescent="0.2">
      <c r="A451" s="240">
        <v>449</v>
      </c>
    </row>
    <row r="452" spans="1:1" x14ac:dyDescent="0.2">
      <c r="A452" s="240">
        <v>450</v>
      </c>
    </row>
    <row r="453" spans="1:1" x14ac:dyDescent="0.2">
      <c r="A453" s="240">
        <v>451</v>
      </c>
    </row>
    <row r="454" spans="1:1" x14ac:dyDescent="0.2">
      <c r="A454" s="240">
        <v>452</v>
      </c>
    </row>
    <row r="455" spans="1:1" x14ac:dyDescent="0.2">
      <c r="A455" s="240">
        <v>453</v>
      </c>
    </row>
    <row r="456" spans="1:1" x14ac:dyDescent="0.2">
      <c r="A456" s="240">
        <v>454</v>
      </c>
    </row>
    <row r="457" spans="1:1" x14ac:dyDescent="0.2">
      <c r="A457" s="240">
        <v>455</v>
      </c>
    </row>
    <row r="458" spans="1:1" x14ac:dyDescent="0.2">
      <c r="A458" s="240">
        <v>456</v>
      </c>
    </row>
    <row r="459" spans="1:1" x14ac:dyDescent="0.2">
      <c r="A459" s="240">
        <v>457</v>
      </c>
    </row>
    <row r="460" spans="1:1" x14ac:dyDescent="0.2">
      <c r="A460" s="240">
        <v>458</v>
      </c>
    </row>
    <row r="461" spans="1:1" x14ac:dyDescent="0.2">
      <c r="A461" s="240">
        <v>459</v>
      </c>
    </row>
    <row r="462" spans="1:1" x14ac:dyDescent="0.2">
      <c r="A462" s="240">
        <v>460</v>
      </c>
    </row>
    <row r="463" spans="1:1" x14ac:dyDescent="0.2">
      <c r="A463" s="240">
        <v>461</v>
      </c>
    </row>
    <row r="464" spans="1:1" x14ac:dyDescent="0.2">
      <c r="A464" s="240">
        <v>462</v>
      </c>
    </row>
    <row r="465" spans="1:1" x14ac:dyDescent="0.2">
      <c r="A465" s="240">
        <v>463</v>
      </c>
    </row>
    <row r="466" spans="1:1" x14ac:dyDescent="0.2">
      <c r="A466" s="240">
        <v>464</v>
      </c>
    </row>
    <row r="467" spans="1:1" x14ac:dyDescent="0.2">
      <c r="A467" s="240">
        <v>465</v>
      </c>
    </row>
    <row r="468" spans="1:1" x14ac:dyDescent="0.2">
      <c r="A468" s="240">
        <v>466</v>
      </c>
    </row>
    <row r="469" spans="1:1" x14ac:dyDescent="0.2">
      <c r="A469" s="240">
        <v>467</v>
      </c>
    </row>
    <row r="470" spans="1:1" x14ac:dyDescent="0.2">
      <c r="A470" s="240">
        <v>468</v>
      </c>
    </row>
    <row r="471" spans="1:1" x14ac:dyDescent="0.2">
      <c r="A471" s="240">
        <v>469</v>
      </c>
    </row>
    <row r="472" spans="1:1" x14ac:dyDescent="0.2">
      <c r="A472" s="240">
        <v>470</v>
      </c>
    </row>
    <row r="473" spans="1:1" x14ac:dyDescent="0.2">
      <c r="A473" s="240">
        <v>471</v>
      </c>
    </row>
    <row r="474" spans="1:1" x14ac:dyDescent="0.2">
      <c r="A474" s="240">
        <v>472</v>
      </c>
    </row>
    <row r="475" spans="1:1" x14ac:dyDescent="0.2">
      <c r="A475" s="240">
        <v>473</v>
      </c>
    </row>
    <row r="476" spans="1:1" x14ac:dyDescent="0.2">
      <c r="A476" s="240">
        <v>474</v>
      </c>
    </row>
    <row r="477" spans="1:1" x14ac:dyDescent="0.2">
      <c r="A477" s="240">
        <v>475</v>
      </c>
    </row>
    <row r="478" spans="1:1" x14ac:dyDescent="0.2">
      <c r="A478" s="240">
        <v>476</v>
      </c>
    </row>
    <row r="479" spans="1:1" x14ac:dyDescent="0.2">
      <c r="A479" s="240">
        <v>477</v>
      </c>
    </row>
    <row r="480" spans="1:1" x14ac:dyDescent="0.2">
      <c r="A480" s="240">
        <v>478</v>
      </c>
    </row>
    <row r="481" spans="1:1" x14ac:dyDescent="0.2">
      <c r="A481" s="240">
        <v>479</v>
      </c>
    </row>
    <row r="482" spans="1:1" x14ac:dyDescent="0.2">
      <c r="A482" s="240">
        <v>480</v>
      </c>
    </row>
    <row r="483" spans="1:1" x14ac:dyDescent="0.2">
      <c r="A483" s="240">
        <v>481</v>
      </c>
    </row>
    <row r="484" spans="1:1" x14ac:dyDescent="0.2">
      <c r="A484" s="240">
        <v>482</v>
      </c>
    </row>
    <row r="485" spans="1:1" x14ac:dyDescent="0.2">
      <c r="A485" s="240">
        <v>483</v>
      </c>
    </row>
    <row r="486" spans="1:1" x14ac:dyDescent="0.2">
      <c r="A486" s="240">
        <v>484</v>
      </c>
    </row>
    <row r="487" spans="1:1" x14ac:dyDescent="0.2">
      <c r="A487" s="240">
        <v>485</v>
      </c>
    </row>
    <row r="488" spans="1:1" x14ac:dyDescent="0.2">
      <c r="A488" s="240">
        <v>486</v>
      </c>
    </row>
    <row r="489" spans="1:1" x14ac:dyDescent="0.2">
      <c r="A489" s="240">
        <v>487</v>
      </c>
    </row>
    <row r="490" spans="1:1" x14ac:dyDescent="0.2">
      <c r="A490" s="240">
        <v>488</v>
      </c>
    </row>
    <row r="491" spans="1:1" x14ac:dyDescent="0.2">
      <c r="A491" s="240">
        <v>489</v>
      </c>
    </row>
    <row r="492" spans="1:1" x14ac:dyDescent="0.2">
      <c r="A492" s="240">
        <v>490</v>
      </c>
    </row>
    <row r="493" spans="1:1" x14ac:dyDescent="0.2">
      <c r="A493" s="240">
        <v>491</v>
      </c>
    </row>
    <row r="494" spans="1:1" x14ac:dyDescent="0.2">
      <c r="A494" s="240">
        <v>492</v>
      </c>
    </row>
    <row r="495" spans="1:1" x14ac:dyDescent="0.2">
      <c r="A495" s="240">
        <v>493</v>
      </c>
    </row>
    <row r="496" spans="1:1" x14ac:dyDescent="0.2">
      <c r="A496" s="240">
        <v>494</v>
      </c>
    </row>
    <row r="497" spans="1:1" x14ac:dyDescent="0.2">
      <c r="A497" s="240">
        <v>495</v>
      </c>
    </row>
    <row r="498" spans="1:1" x14ac:dyDescent="0.2">
      <c r="A498" s="240">
        <v>496</v>
      </c>
    </row>
    <row r="499" spans="1:1" x14ac:dyDescent="0.2">
      <c r="A499" s="240">
        <v>497</v>
      </c>
    </row>
    <row r="500" spans="1:1" x14ac:dyDescent="0.2">
      <c r="A500" s="240">
        <v>498</v>
      </c>
    </row>
    <row r="501" spans="1:1" x14ac:dyDescent="0.2">
      <c r="A501" s="240">
        <v>499</v>
      </c>
    </row>
    <row r="502" spans="1:1" x14ac:dyDescent="0.2">
      <c r="A502" s="240">
        <v>500</v>
      </c>
    </row>
    <row r="503" spans="1:1" x14ac:dyDescent="0.2">
      <c r="A503" s="240">
        <v>501</v>
      </c>
    </row>
    <row r="504" spans="1:1" x14ac:dyDescent="0.2">
      <c r="A504" s="240">
        <v>502</v>
      </c>
    </row>
    <row r="505" spans="1:1" x14ac:dyDescent="0.2">
      <c r="A505" s="240">
        <v>503</v>
      </c>
    </row>
    <row r="506" spans="1:1" x14ac:dyDescent="0.2">
      <c r="A506" s="240">
        <v>504</v>
      </c>
    </row>
    <row r="507" spans="1:1" x14ac:dyDescent="0.2">
      <c r="A507" s="240">
        <v>505</v>
      </c>
    </row>
    <row r="508" spans="1:1" x14ac:dyDescent="0.2">
      <c r="A508" s="240">
        <v>506</v>
      </c>
    </row>
    <row r="509" spans="1:1" x14ac:dyDescent="0.2">
      <c r="A509" s="240">
        <v>507</v>
      </c>
    </row>
    <row r="510" spans="1:1" x14ac:dyDescent="0.2">
      <c r="A510" s="240">
        <v>508</v>
      </c>
    </row>
    <row r="511" spans="1:1" x14ac:dyDescent="0.2">
      <c r="A511" s="240">
        <v>509</v>
      </c>
    </row>
    <row r="512" spans="1:1" x14ac:dyDescent="0.2">
      <c r="A512" s="240">
        <v>510</v>
      </c>
    </row>
    <row r="513" spans="1:1" x14ac:dyDescent="0.2">
      <c r="A513" s="240">
        <v>511</v>
      </c>
    </row>
    <row r="514" spans="1:1" x14ac:dyDescent="0.2">
      <c r="A514" s="240">
        <v>512</v>
      </c>
    </row>
    <row r="515" spans="1:1" x14ac:dyDescent="0.2">
      <c r="A515" s="240">
        <v>513</v>
      </c>
    </row>
    <row r="516" spans="1:1" x14ac:dyDescent="0.2">
      <c r="A516" s="240">
        <v>514</v>
      </c>
    </row>
    <row r="517" spans="1:1" x14ac:dyDescent="0.2">
      <c r="A517" s="240">
        <v>515</v>
      </c>
    </row>
    <row r="518" spans="1:1" x14ac:dyDescent="0.2">
      <c r="A518" s="240">
        <v>516</v>
      </c>
    </row>
    <row r="519" spans="1:1" x14ac:dyDescent="0.2">
      <c r="A519" s="240">
        <v>517</v>
      </c>
    </row>
    <row r="520" spans="1:1" x14ac:dyDescent="0.2">
      <c r="A520" s="240">
        <v>518</v>
      </c>
    </row>
    <row r="521" spans="1:1" x14ac:dyDescent="0.2">
      <c r="A521" s="240">
        <v>519</v>
      </c>
    </row>
    <row r="522" spans="1:1" x14ac:dyDescent="0.2">
      <c r="A522" s="240">
        <v>520</v>
      </c>
    </row>
    <row r="523" spans="1:1" x14ac:dyDescent="0.2">
      <c r="A523" s="240">
        <v>521</v>
      </c>
    </row>
    <row r="524" spans="1:1" x14ac:dyDescent="0.2">
      <c r="A524" s="240">
        <v>522</v>
      </c>
    </row>
    <row r="525" spans="1:1" x14ac:dyDescent="0.2">
      <c r="A525" s="240">
        <v>523</v>
      </c>
    </row>
    <row r="526" spans="1:1" x14ac:dyDescent="0.2">
      <c r="A526" s="240">
        <v>524</v>
      </c>
    </row>
    <row r="527" spans="1:1" x14ac:dyDescent="0.2">
      <c r="A527" s="240">
        <v>525</v>
      </c>
    </row>
    <row r="528" spans="1:1" x14ac:dyDescent="0.2">
      <c r="A528" s="240">
        <v>526</v>
      </c>
    </row>
    <row r="529" spans="1:1" x14ac:dyDescent="0.2">
      <c r="A529" s="240">
        <v>527</v>
      </c>
    </row>
    <row r="530" spans="1:1" x14ac:dyDescent="0.2">
      <c r="A530" s="240">
        <v>528</v>
      </c>
    </row>
    <row r="531" spans="1:1" x14ac:dyDescent="0.2">
      <c r="A531" s="240">
        <v>529</v>
      </c>
    </row>
    <row r="532" spans="1:1" x14ac:dyDescent="0.2">
      <c r="A532" s="240">
        <v>530</v>
      </c>
    </row>
    <row r="533" spans="1:1" x14ac:dyDescent="0.2">
      <c r="A533" s="240">
        <v>531</v>
      </c>
    </row>
    <row r="534" spans="1:1" x14ac:dyDescent="0.2">
      <c r="A534" s="240">
        <v>532</v>
      </c>
    </row>
    <row r="535" spans="1:1" x14ac:dyDescent="0.2">
      <c r="A535" s="240">
        <v>533</v>
      </c>
    </row>
    <row r="536" spans="1:1" x14ac:dyDescent="0.2">
      <c r="A536" s="240">
        <v>534</v>
      </c>
    </row>
    <row r="537" spans="1:1" x14ac:dyDescent="0.2">
      <c r="A537" s="240">
        <v>535</v>
      </c>
    </row>
    <row r="538" spans="1:1" x14ac:dyDescent="0.2">
      <c r="A538" s="240">
        <v>536</v>
      </c>
    </row>
    <row r="539" spans="1:1" x14ac:dyDescent="0.2">
      <c r="A539" s="240">
        <v>537</v>
      </c>
    </row>
    <row r="540" spans="1:1" x14ac:dyDescent="0.2">
      <c r="A540" s="240">
        <v>538</v>
      </c>
    </row>
    <row r="541" spans="1:1" x14ac:dyDescent="0.2">
      <c r="A541" s="240">
        <v>539</v>
      </c>
    </row>
    <row r="542" spans="1:1" x14ac:dyDescent="0.2">
      <c r="A542" s="240">
        <v>540</v>
      </c>
    </row>
    <row r="543" spans="1:1" x14ac:dyDescent="0.2">
      <c r="A543" s="240">
        <v>541</v>
      </c>
    </row>
    <row r="544" spans="1:1" x14ac:dyDescent="0.2">
      <c r="A544" s="240">
        <v>542</v>
      </c>
    </row>
    <row r="545" spans="1:1" x14ac:dyDescent="0.2">
      <c r="A545" s="240">
        <v>543</v>
      </c>
    </row>
    <row r="546" spans="1:1" x14ac:dyDescent="0.2">
      <c r="A546" s="240">
        <v>544</v>
      </c>
    </row>
    <row r="547" spans="1:1" x14ac:dyDescent="0.2">
      <c r="A547" s="240">
        <v>545</v>
      </c>
    </row>
    <row r="548" spans="1:1" x14ac:dyDescent="0.2">
      <c r="A548" s="240">
        <v>546</v>
      </c>
    </row>
    <row r="549" spans="1:1" x14ac:dyDescent="0.2">
      <c r="A549" s="240">
        <v>547</v>
      </c>
    </row>
    <row r="550" spans="1:1" x14ac:dyDescent="0.2">
      <c r="A550" s="240">
        <v>548</v>
      </c>
    </row>
    <row r="551" spans="1:1" x14ac:dyDescent="0.2">
      <c r="A551" s="240">
        <v>549</v>
      </c>
    </row>
    <row r="552" spans="1:1" x14ac:dyDescent="0.2">
      <c r="A552" s="240">
        <v>550</v>
      </c>
    </row>
    <row r="553" spans="1:1" x14ac:dyDescent="0.2">
      <c r="A553" s="240">
        <v>551</v>
      </c>
    </row>
    <row r="554" spans="1:1" x14ac:dyDescent="0.2">
      <c r="A554" s="240">
        <v>552</v>
      </c>
    </row>
    <row r="555" spans="1:1" x14ac:dyDescent="0.2">
      <c r="A555" s="240">
        <v>553</v>
      </c>
    </row>
    <row r="556" spans="1:1" x14ac:dyDescent="0.2">
      <c r="A556" s="240">
        <v>554</v>
      </c>
    </row>
    <row r="557" spans="1:1" x14ac:dyDescent="0.2">
      <c r="A557" s="240">
        <v>555</v>
      </c>
    </row>
    <row r="558" spans="1:1" x14ac:dyDescent="0.2">
      <c r="A558" s="240">
        <v>556</v>
      </c>
    </row>
    <row r="559" spans="1:1" x14ac:dyDescent="0.2">
      <c r="A559" s="240">
        <v>557</v>
      </c>
    </row>
    <row r="560" spans="1:1" x14ac:dyDescent="0.2">
      <c r="A560" s="240">
        <v>558</v>
      </c>
    </row>
    <row r="561" spans="1:1" x14ac:dyDescent="0.2">
      <c r="A561" s="240">
        <v>559</v>
      </c>
    </row>
    <row r="562" spans="1:1" x14ac:dyDescent="0.2">
      <c r="A562" s="240">
        <v>560</v>
      </c>
    </row>
    <row r="563" spans="1:1" x14ac:dyDescent="0.2">
      <c r="A563" s="240">
        <v>561</v>
      </c>
    </row>
    <row r="564" spans="1:1" x14ac:dyDescent="0.2">
      <c r="A564" s="240">
        <v>562</v>
      </c>
    </row>
    <row r="565" spans="1:1" x14ac:dyDescent="0.2">
      <c r="A565" s="240">
        <v>563</v>
      </c>
    </row>
    <row r="566" spans="1:1" x14ac:dyDescent="0.2">
      <c r="A566" s="240">
        <v>564</v>
      </c>
    </row>
    <row r="567" spans="1:1" x14ac:dyDescent="0.2">
      <c r="A567" s="240">
        <v>565</v>
      </c>
    </row>
    <row r="568" spans="1:1" x14ac:dyDescent="0.2">
      <c r="A568" s="240">
        <v>566</v>
      </c>
    </row>
    <row r="569" spans="1:1" x14ac:dyDescent="0.2">
      <c r="A569" s="240">
        <v>567</v>
      </c>
    </row>
    <row r="570" spans="1:1" x14ac:dyDescent="0.2">
      <c r="A570" s="240">
        <v>568</v>
      </c>
    </row>
    <row r="571" spans="1:1" x14ac:dyDescent="0.2">
      <c r="A571" s="240">
        <v>569</v>
      </c>
    </row>
    <row r="572" spans="1:1" x14ac:dyDescent="0.2">
      <c r="A572" s="240">
        <v>570</v>
      </c>
    </row>
    <row r="573" spans="1:1" x14ac:dyDescent="0.2">
      <c r="A573" s="240">
        <v>571</v>
      </c>
    </row>
    <row r="574" spans="1:1" x14ac:dyDescent="0.2">
      <c r="A574" s="240">
        <v>572</v>
      </c>
    </row>
    <row r="575" spans="1:1" x14ac:dyDescent="0.2">
      <c r="A575" s="240">
        <v>573</v>
      </c>
    </row>
    <row r="576" spans="1:1" x14ac:dyDescent="0.2">
      <c r="A576" s="240">
        <v>574</v>
      </c>
    </row>
    <row r="577" spans="1:1" x14ac:dyDescent="0.2">
      <c r="A577" s="240">
        <v>575</v>
      </c>
    </row>
    <row r="578" spans="1:1" x14ac:dyDescent="0.2">
      <c r="A578" s="240">
        <v>576</v>
      </c>
    </row>
    <row r="579" spans="1:1" x14ac:dyDescent="0.2">
      <c r="A579" s="240">
        <v>577</v>
      </c>
    </row>
    <row r="580" spans="1:1" x14ac:dyDescent="0.2">
      <c r="A580" s="240">
        <v>578</v>
      </c>
    </row>
    <row r="581" spans="1:1" x14ac:dyDescent="0.2">
      <c r="A581" s="240">
        <v>579</v>
      </c>
    </row>
    <row r="582" spans="1:1" x14ac:dyDescent="0.2">
      <c r="A582" s="240">
        <v>580</v>
      </c>
    </row>
    <row r="583" spans="1:1" x14ac:dyDescent="0.2">
      <c r="A583" s="240">
        <v>581</v>
      </c>
    </row>
    <row r="584" spans="1:1" x14ac:dyDescent="0.2">
      <c r="A584" s="240">
        <v>582</v>
      </c>
    </row>
    <row r="585" spans="1:1" x14ac:dyDescent="0.2">
      <c r="A585" s="240">
        <v>583</v>
      </c>
    </row>
    <row r="586" spans="1:1" x14ac:dyDescent="0.2">
      <c r="A586" s="240">
        <v>584</v>
      </c>
    </row>
    <row r="587" spans="1:1" x14ac:dyDescent="0.2">
      <c r="A587" s="240">
        <v>585</v>
      </c>
    </row>
    <row r="588" spans="1:1" x14ac:dyDescent="0.2">
      <c r="A588" s="240">
        <v>586</v>
      </c>
    </row>
    <row r="589" spans="1:1" x14ac:dyDescent="0.2">
      <c r="A589" s="240">
        <v>587</v>
      </c>
    </row>
    <row r="590" spans="1:1" x14ac:dyDescent="0.2">
      <c r="A590" s="240">
        <v>588</v>
      </c>
    </row>
    <row r="591" spans="1:1" x14ac:dyDescent="0.2">
      <c r="A591" s="240">
        <v>589</v>
      </c>
    </row>
    <row r="592" spans="1:1" x14ac:dyDescent="0.2">
      <c r="A592" s="240">
        <v>590</v>
      </c>
    </row>
    <row r="593" spans="1:1" x14ac:dyDescent="0.2">
      <c r="A593" s="240">
        <v>591</v>
      </c>
    </row>
    <row r="594" spans="1:1" x14ac:dyDescent="0.2">
      <c r="A594" s="240">
        <v>592</v>
      </c>
    </row>
    <row r="595" spans="1:1" x14ac:dyDescent="0.2">
      <c r="A595" s="240">
        <v>593</v>
      </c>
    </row>
    <row r="596" spans="1:1" x14ac:dyDescent="0.2">
      <c r="A596" s="240">
        <v>594</v>
      </c>
    </row>
    <row r="597" spans="1:1" x14ac:dyDescent="0.2">
      <c r="A597" s="240">
        <v>595</v>
      </c>
    </row>
    <row r="598" spans="1:1" x14ac:dyDescent="0.2">
      <c r="A598" s="240">
        <v>596</v>
      </c>
    </row>
    <row r="599" spans="1:1" x14ac:dyDescent="0.2">
      <c r="A599" s="240">
        <v>597</v>
      </c>
    </row>
    <row r="600" spans="1:1" x14ac:dyDescent="0.2">
      <c r="A600" s="240">
        <v>598</v>
      </c>
    </row>
    <row r="601" spans="1:1" x14ac:dyDescent="0.2">
      <c r="A601" s="240">
        <v>599</v>
      </c>
    </row>
    <row r="602" spans="1:1" x14ac:dyDescent="0.2">
      <c r="A602" s="240">
        <v>600</v>
      </c>
    </row>
    <row r="603" spans="1:1" x14ac:dyDescent="0.2">
      <c r="A603" s="240">
        <v>601</v>
      </c>
    </row>
    <row r="604" spans="1:1" x14ac:dyDescent="0.2">
      <c r="A604" s="240">
        <v>602</v>
      </c>
    </row>
    <row r="605" spans="1:1" x14ac:dyDescent="0.2">
      <c r="A605" s="240">
        <v>603</v>
      </c>
    </row>
    <row r="606" spans="1:1" x14ac:dyDescent="0.2">
      <c r="A606" s="240">
        <v>604</v>
      </c>
    </row>
    <row r="607" spans="1:1" x14ac:dyDescent="0.2">
      <c r="A607" s="240">
        <v>605</v>
      </c>
    </row>
    <row r="608" spans="1:1" x14ac:dyDescent="0.2">
      <c r="A608" s="240">
        <v>606</v>
      </c>
    </row>
    <row r="609" spans="1:1" x14ac:dyDescent="0.2">
      <c r="A609" s="240">
        <v>607</v>
      </c>
    </row>
    <row r="610" spans="1:1" x14ac:dyDescent="0.2">
      <c r="A610" s="240">
        <v>608</v>
      </c>
    </row>
    <row r="611" spans="1:1" x14ac:dyDescent="0.2">
      <c r="A611" s="240">
        <v>609</v>
      </c>
    </row>
    <row r="612" spans="1:1" x14ac:dyDescent="0.2">
      <c r="A612" s="240">
        <v>610</v>
      </c>
    </row>
    <row r="613" spans="1:1" x14ac:dyDescent="0.2">
      <c r="A613" s="240">
        <v>611</v>
      </c>
    </row>
    <row r="614" spans="1:1" x14ac:dyDescent="0.2">
      <c r="A614" s="240">
        <v>612</v>
      </c>
    </row>
    <row r="615" spans="1:1" x14ac:dyDescent="0.2">
      <c r="A615" s="240">
        <v>613</v>
      </c>
    </row>
    <row r="616" spans="1:1" x14ac:dyDescent="0.2">
      <c r="A616" s="240">
        <v>614</v>
      </c>
    </row>
    <row r="617" spans="1:1" x14ac:dyDescent="0.2">
      <c r="A617" s="240">
        <v>615</v>
      </c>
    </row>
    <row r="618" spans="1:1" x14ac:dyDescent="0.2">
      <c r="A618" s="240">
        <v>616</v>
      </c>
    </row>
    <row r="619" spans="1:1" x14ac:dyDescent="0.2">
      <c r="A619" s="240">
        <v>617</v>
      </c>
    </row>
    <row r="620" spans="1:1" x14ac:dyDescent="0.2">
      <c r="A620" s="240">
        <v>618</v>
      </c>
    </row>
    <row r="621" spans="1:1" x14ac:dyDescent="0.2">
      <c r="A621" s="240">
        <v>619</v>
      </c>
    </row>
    <row r="622" spans="1:1" x14ac:dyDescent="0.2">
      <c r="A622" s="240">
        <v>620</v>
      </c>
    </row>
    <row r="623" spans="1:1" x14ac:dyDescent="0.2">
      <c r="A623" s="240">
        <v>621</v>
      </c>
    </row>
    <row r="624" spans="1:1" x14ac:dyDescent="0.2">
      <c r="A624" s="240">
        <v>622</v>
      </c>
    </row>
    <row r="625" spans="1:1" x14ac:dyDescent="0.2">
      <c r="A625" s="240">
        <v>623</v>
      </c>
    </row>
    <row r="626" spans="1:1" x14ac:dyDescent="0.2">
      <c r="A626" s="240">
        <v>624</v>
      </c>
    </row>
    <row r="627" spans="1:1" x14ac:dyDescent="0.2">
      <c r="A627" s="240">
        <v>625</v>
      </c>
    </row>
    <row r="628" spans="1:1" x14ac:dyDescent="0.2">
      <c r="A628" s="240">
        <v>626</v>
      </c>
    </row>
    <row r="629" spans="1:1" x14ac:dyDescent="0.2">
      <c r="A629" s="240">
        <v>627</v>
      </c>
    </row>
    <row r="630" spans="1:1" x14ac:dyDescent="0.2">
      <c r="A630" s="240">
        <v>628</v>
      </c>
    </row>
    <row r="631" spans="1:1" x14ac:dyDescent="0.2">
      <c r="A631" s="240">
        <v>629</v>
      </c>
    </row>
    <row r="632" spans="1:1" x14ac:dyDescent="0.2">
      <c r="A632" s="240">
        <v>630</v>
      </c>
    </row>
    <row r="633" spans="1:1" x14ac:dyDescent="0.2">
      <c r="A633" s="240">
        <v>631</v>
      </c>
    </row>
    <row r="634" spans="1:1" x14ac:dyDescent="0.2">
      <c r="A634" s="240">
        <v>632</v>
      </c>
    </row>
    <row r="635" spans="1:1" x14ac:dyDescent="0.2">
      <c r="A635" s="240">
        <v>633</v>
      </c>
    </row>
    <row r="636" spans="1:1" x14ac:dyDescent="0.2">
      <c r="A636" s="240">
        <v>634</v>
      </c>
    </row>
    <row r="637" spans="1:1" x14ac:dyDescent="0.2">
      <c r="A637" s="240">
        <v>635</v>
      </c>
    </row>
    <row r="638" spans="1:1" x14ac:dyDescent="0.2">
      <c r="A638" s="240">
        <v>636</v>
      </c>
    </row>
    <row r="639" spans="1:1" x14ac:dyDescent="0.2">
      <c r="A639" s="240">
        <v>637</v>
      </c>
    </row>
    <row r="640" spans="1:1" x14ac:dyDescent="0.2">
      <c r="A640" s="240">
        <v>638</v>
      </c>
    </row>
    <row r="641" spans="1:1" x14ac:dyDescent="0.2">
      <c r="A641" s="240">
        <v>639</v>
      </c>
    </row>
    <row r="642" spans="1:1" x14ac:dyDescent="0.2">
      <c r="A642" s="240">
        <v>640</v>
      </c>
    </row>
    <row r="643" spans="1:1" x14ac:dyDescent="0.2">
      <c r="A643" s="240">
        <v>641</v>
      </c>
    </row>
    <row r="644" spans="1:1" x14ac:dyDescent="0.2">
      <c r="A644" s="240">
        <v>642</v>
      </c>
    </row>
    <row r="645" spans="1:1" x14ac:dyDescent="0.2">
      <c r="A645" s="240">
        <v>643</v>
      </c>
    </row>
    <row r="646" spans="1:1" x14ac:dyDescent="0.2">
      <c r="A646" s="240">
        <v>644</v>
      </c>
    </row>
    <row r="647" spans="1:1" x14ac:dyDescent="0.2">
      <c r="A647" s="240">
        <v>645</v>
      </c>
    </row>
    <row r="648" spans="1:1" x14ac:dyDescent="0.2">
      <c r="A648" s="240">
        <v>646</v>
      </c>
    </row>
    <row r="649" spans="1:1" x14ac:dyDescent="0.2">
      <c r="A649" s="240">
        <v>647</v>
      </c>
    </row>
    <row r="650" spans="1:1" x14ac:dyDescent="0.2">
      <c r="A650" s="240">
        <v>648</v>
      </c>
    </row>
    <row r="651" spans="1:1" x14ac:dyDescent="0.2">
      <c r="A651" s="240">
        <v>649</v>
      </c>
    </row>
    <row r="652" spans="1:1" x14ac:dyDescent="0.2">
      <c r="A652" s="240">
        <v>650</v>
      </c>
    </row>
    <row r="653" spans="1:1" x14ac:dyDescent="0.2">
      <c r="A653" s="240">
        <v>651</v>
      </c>
    </row>
    <row r="654" spans="1:1" x14ac:dyDescent="0.2">
      <c r="A654" s="240">
        <v>652</v>
      </c>
    </row>
    <row r="655" spans="1:1" x14ac:dyDescent="0.2">
      <c r="A655" s="240">
        <v>653</v>
      </c>
    </row>
    <row r="656" spans="1:1" x14ac:dyDescent="0.2">
      <c r="A656" s="240">
        <v>654</v>
      </c>
    </row>
    <row r="657" spans="1:1" x14ac:dyDescent="0.2">
      <c r="A657" s="240">
        <v>655</v>
      </c>
    </row>
    <row r="658" spans="1:1" x14ac:dyDescent="0.2">
      <c r="A658" s="240">
        <v>656</v>
      </c>
    </row>
    <row r="659" spans="1:1" x14ac:dyDescent="0.2">
      <c r="A659" s="240">
        <v>657</v>
      </c>
    </row>
    <row r="660" spans="1:1" x14ac:dyDescent="0.2">
      <c r="A660" s="240">
        <v>658</v>
      </c>
    </row>
    <row r="661" spans="1:1" x14ac:dyDescent="0.2">
      <c r="A661" s="240">
        <v>659</v>
      </c>
    </row>
    <row r="662" spans="1:1" x14ac:dyDescent="0.2">
      <c r="A662" s="240">
        <v>660</v>
      </c>
    </row>
    <row r="663" spans="1:1" x14ac:dyDescent="0.2">
      <c r="A663" s="240">
        <v>661</v>
      </c>
    </row>
    <row r="664" spans="1:1" x14ac:dyDescent="0.2">
      <c r="A664" s="240">
        <v>662</v>
      </c>
    </row>
    <row r="665" spans="1:1" x14ac:dyDescent="0.2">
      <c r="A665" s="240">
        <v>663</v>
      </c>
    </row>
    <row r="666" spans="1:1" x14ac:dyDescent="0.2">
      <c r="A666" s="240">
        <v>664</v>
      </c>
    </row>
    <row r="667" spans="1:1" x14ac:dyDescent="0.2">
      <c r="A667" s="240">
        <v>665</v>
      </c>
    </row>
    <row r="668" spans="1:1" x14ac:dyDescent="0.2">
      <c r="A668" s="240">
        <v>666</v>
      </c>
    </row>
    <row r="669" spans="1:1" x14ac:dyDescent="0.2">
      <c r="A669" s="240">
        <v>667</v>
      </c>
    </row>
    <row r="670" spans="1:1" x14ac:dyDescent="0.2">
      <c r="A670" s="240">
        <v>668</v>
      </c>
    </row>
    <row r="671" spans="1:1" x14ac:dyDescent="0.2">
      <c r="A671" s="240">
        <v>669</v>
      </c>
    </row>
    <row r="672" spans="1:1" x14ac:dyDescent="0.2">
      <c r="A672" s="240">
        <v>670</v>
      </c>
    </row>
    <row r="673" spans="1:1" x14ac:dyDescent="0.2">
      <c r="A673" s="240">
        <v>671</v>
      </c>
    </row>
    <row r="674" spans="1:1" x14ac:dyDescent="0.2">
      <c r="A674" s="240">
        <v>672</v>
      </c>
    </row>
    <row r="675" spans="1:1" x14ac:dyDescent="0.2">
      <c r="A675" s="240">
        <v>673</v>
      </c>
    </row>
    <row r="676" spans="1:1" x14ac:dyDescent="0.2">
      <c r="A676" s="240">
        <v>674</v>
      </c>
    </row>
    <row r="677" spans="1:1" x14ac:dyDescent="0.2">
      <c r="A677" s="240">
        <v>675</v>
      </c>
    </row>
    <row r="678" spans="1:1" x14ac:dyDescent="0.2">
      <c r="A678" s="240">
        <v>676</v>
      </c>
    </row>
    <row r="679" spans="1:1" x14ac:dyDescent="0.2">
      <c r="A679" s="240">
        <v>677</v>
      </c>
    </row>
    <row r="680" spans="1:1" x14ac:dyDescent="0.2">
      <c r="A680" s="240">
        <v>678</v>
      </c>
    </row>
    <row r="681" spans="1:1" x14ac:dyDescent="0.2">
      <c r="A681" s="240">
        <v>679</v>
      </c>
    </row>
    <row r="682" spans="1:1" x14ac:dyDescent="0.2">
      <c r="A682" s="240">
        <v>680</v>
      </c>
    </row>
    <row r="683" spans="1:1" x14ac:dyDescent="0.2">
      <c r="A683" s="240">
        <v>681</v>
      </c>
    </row>
    <row r="684" spans="1:1" x14ac:dyDescent="0.2">
      <c r="A684" s="240">
        <v>682</v>
      </c>
    </row>
    <row r="685" spans="1:1" x14ac:dyDescent="0.2">
      <c r="A685" s="240">
        <v>683</v>
      </c>
    </row>
    <row r="686" spans="1:1" x14ac:dyDescent="0.2">
      <c r="A686" s="240">
        <v>684</v>
      </c>
    </row>
    <row r="687" spans="1:1" x14ac:dyDescent="0.2">
      <c r="A687" s="240">
        <v>685</v>
      </c>
    </row>
    <row r="688" spans="1:1" x14ac:dyDescent="0.2">
      <c r="A688" s="240">
        <v>686</v>
      </c>
    </row>
    <row r="689" spans="1:1" x14ac:dyDescent="0.2">
      <c r="A689" s="240">
        <v>687</v>
      </c>
    </row>
    <row r="690" spans="1:1" x14ac:dyDescent="0.2">
      <c r="A690" s="240">
        <v>688</v>
      </c>
    </row>
    <row r="691" spans="1:1" x14ac:dyDescent="0.2">
      <c r="A691" s="240">
        <v>689</v>
      </c>
    </row>
    <row r="692" spans="1:1" x14ac:dyDescent="0.2">
      <c r="A692" s="240">
        <v>690</v>
      </c>
    </row>
    <row r="693" spans="1:1" x14ac:dyDescent="0.2">
      <c r="A693" s="240">
        <v>691</v>
      </c>
    </row>
    <row r="694" spans="1:1" x14ac:dyDescent="0.2">
      <c r="A694" s="240">
        <v>692</v>
      </c>
    </row>
    <row r="695" spans="1:1" x14ac:dyDescent="0.2">
      <c r="A695" s="240">
        <v>693</v>
      </c>
    </row>
    <row r="696" spans="1:1" x14ac:dyDescent="0.2">
      <c r="A696" s="240">
        <v>694</v>
      </c>
    </row>
    <row r="697" spans="1:1" x14ac:dyDescent="0.2">
      <c r="A697" s="240">
        <v>695</v>
      </c>
    </row>
    <row r="698" spans="1:1" x14ac:dyDescent="0.2">
      <c r="A698" s="240">
        <v>696</v>
      </c>
    </row>
    <row r="699" spans="1:1" x14ac:dyDescent="0.2">
      <c r="A699" s="240">
        <v>697</v>
      </c>
    </row>
    <row r="700" spans="1:1" x14ac:dyDescent="0.2">
      <c r="A700" s="240">
        <v>698</v>
      </c>
    </row>
    <row r="701" spans="1:1" x14ac:dyDescent="0.2">
      <c r="A701" s="240">
        <v>699</v>
      </c>
    </row>
    <row r="702" spans="1:1" x14ac:dyDescent="0.2">
      <c r="A702" s="240">
        <v>700</v>
      </c>
    </row>
    <row r="703" spans="1:1" x14ac:dyDescent="0.2">
      <c r="A703" s="240">
        <v>701</v>
      </c>
    </row>
    <row r="704" spans="1:1" x14ac:dyDescent="0.2">
      <c r="A704" s="240">
        <v>702</v>
      </c>
    </row>
    <row r="705" spans="1:1" x14ac:dyDescent="0.2">
      <c r="A705" s="240">
        <v>703</v>
      </c>
    </row>
    <row r="706" spans="1:1" x14ac:dyDescent="0.2">
      <c r="A706" s="240">
        <v>704</v>
      </c>
    </row>
    <row r="707" spans="1:1" x14ac:dyDescent="0.2">
      <c r="A707" s="240">
        <v>705</v>
      </c>
    </row>
    <row r="708" spans="1:1" x14ac:dyDescent="0.2">
      <c r="A708" s="240">
        <v>706</v>
      </c>
    </row>
    <row r="709" spans="1:1" x14ac:dyDescent="0.2">
      <c r="A709" s="240">
        <v>707</v>
      </c>
    </row>
    <row r="710" spans="1:1" x14ac:dyDescent="0.2">
      <c r="A710" s="240">
        <v>708</v>
      </c>
    </row>
    <row r="711" spans="1:1" x14ac:dyDescent="0.2">
      <c r="A711" s="240">
        <v>709</v>
      </c>
    </row>
    <row r="712" spans="1:1" x14ac:dyDescent="0.2">
      <c r="A712" s="240">
        <v>710</v>
      </c>
    </row>
    <row r="713" spans="1:1" x14ac:dyDescent="0.2">
      <c r="A713" s="240">
        <v>711</v>
      </c>
    </row>
    <row r="714" spans="1:1" x14ac:dyDescent="0.2">
      <c r="A714" s="240">
        <v>712</v>
      </c>
    </row>
    <row r="715" spans="1:1" x14ac:dyDescent="0.2">
      <c r="A715" s="240">
        <v>713</v>
      </c>
    </row>
    <row r="716" spans="1:1" x14ac:dyDescent="0.2">
      <c r="A716" s="240">
        <v>714</v>
      </c>
    </row>
    <row r="717" spans="1:1" x14ac:dyDescent="0.2">
      <c r="A717" s="240">
        <v>715</v>
      </c>
    </row>
    <row r="718" spans="1:1" x14ac:dyDescent="0.2">
      <c r="A718" s="240">
        <v>716</v>
      </c>
    </row>
    <row r="719" spans="1:1" x14ac:dyDescent="0.2">
      <c r="A719" s="240">
        <v>717</v>
      </c>
    </row>
    <row r="720" spans="1:1" x14ac:dyDescent="0.2">
      <c r="A720" s="240">
        <v>718</v>
      </c>
    </row>
    <row r="721" spans="1:1" x14ac:dyDescent="0.2">
      <c r="A721" s="240">
        <v>719</v>
      </c>
    </row>
    <row r="722" spans="1:1" x14ac:dyDescent="0.2">
      <c r="A722" s="240">
        <v>720</v>
      </c>
    </row>
    <row r="723" spans="1:1" x14ac:dyDescent="0.2">
      <c r="A723" s="240">
        <v>721</v>
      </c>
    </row>
    <row r="724" spans="1:1" x14ac:dyDescent="0.2">
      <c r="A724" s="240">
        <v>722</v>
      </c>
    </row>
    <row r="725" spans="1:1" x14ac:dyDescent="0.2">
      <c r="A725" s="240">
        <v>723</v>
      </c>
    </row>
    <row r="726" spans="1:1" x14ac:dyDescent="0.2">
      <c r="A726" s="240">
        <v>724</v>
      </c>
    </row>
    <row r="727" spans="1:1" x14ac:dyDescent="0.2">
      <c r="A727" s="240">
        <v>725</v>
      </c>
    </row>
    <row r="728" spans="1:1" x14ac:dyDescent="0.2">
      <c r="A728" s="240">
        <v>726</v>
      </c>
    </row>
    <row r="729" spans="1:1" x14ac:dyDescent="0.2">
      <c r="A729" s="240">
        <v>727</v>
      </c>
    </row>
    <row r="730" spans="1:1" x14ac:dyDescent="0.2">
      <c r="A730" s="240">
        <v>728</v>
      </c>
    </row>
    <row r="731" spans="1:1" x14ac:dyDescent="0.2">
      <c r="A731" s="240">
        <v>729</v>
      </c>
    </row>
    <row r="732" spans="1:1" x14ac:dyDescent="0.2">
      <c r="A732" s="240">
        <v>730</v>
      </c>
    </row>
    <row r="733" spans="1:1" x14ac:dyDescent="0.2">
      <c r="A733" s="240">
        <v>731</v>
      </c>
    </row>
    <row r="734" spans="1:1" x14ac:dyDescent="0.2">
      <c r="A734" s="240">
        <v>732</v>
      </c>
    </row>
    <row r="735" spans="1:1" x14ac:dyDescent="0.2">
      <c r="A735" s="240">
        <v>733</v>
      </c>
    </row>
    <row r="736" spans="1:1" x14ac:dyDescent="0.2">
      <c r="A736" s="240">
        <v>734</v>
      </c>
    </row>
    <row r="737" spans="1:1" x14ac:dyDescent="0.2">
      <c r="A737" s="240">
        <v>735</v>
      </c>
    </row>
    <row r="738" spans="1:1" x14ac:dyDescent="0.2">
      <c r="A738" s="240">
        <v>736</v>
      </c>
    </row>
    <row r="739" spans="1:1" x14ac:dyDescent="0.2">
      <c r="A739" s="240">
        <v>737</v>
      </c>
    </row>
    <row r="740" spans="1:1" x14ac:dyDescent="0.2">
      <c r="A740" s="240">
        <v>738</v>
      </c>
    </row>
    <row r="741" spans="1:1" x14ac:dyDescent="0.2">
      <c r="A741" s="240">
        <v>739</v>
      </c>
    </row>
    <row r="742" spans="1:1" x14ac:dyDescent="0.2">
      <c r="A742" s="240">
        <v>740</v>
      </c>
    </row>
    <row r="743" spans="1:1" x14ac:dyDescent="0.2">
      <c r="A743" s="240">
        <v>741</v>
      </c>
    </row>
    <row r="744" spans="1:1" x14ac:dyDescent="0.2">
      <c r="A744" s="240">
        <v>742</v>
      </c>
    </row>
    <row r="745" spans="1:1" x14ac:dyDescent="0.2">
      <c r="A745" s="240">
        <v>743</v>
      </c>
    </row>
  </sheetData>
  <autoFilter ref="B2:F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Общий список с инв. №</vt:lpstr>
      <vt:lpstr>Амортизируемое исущество</vt:lpstr>
      <vt:lpstr>Оборудование НИОКР</vt:lpstr>
      <vt:lpstr>Только НДА, ИВЛ, МП</vt:lpstr>
      <vt:lpstr>Склад (в работе)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Терентьев Андрей</dc:creator>
  <cp:lastModifiedBy>aleksan.gaybaryan@mail.ru</cp:lastModifiedBy>
  <cp:revision>1</cp:revision>
  <cp:lastPrinted>2025-09-29T12:13:41Z</cp:lastPrinted>
  <dcterms:created xsi:type="dcterms:W3CDTF">2025-09-29T12:13:41Z</dcterms:created>
  <dcterms:modified xsi:type="dcterms:W3CDTF">2026-02-24T12:04:40Z</dcterms:modified>
</cp:coreProperties>
</file>